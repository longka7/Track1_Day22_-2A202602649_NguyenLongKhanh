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README" sheetId="1" state="visible" r:id="rId3"/>
    <sheet name="1_Cost_Job" sheetId="2" state="visible" r:id="rId4"/>
    <sheet name="2_Pricing" sheetId="3" state="visible" r:id="rId5"/>
    <sheet name="3_Value_Metric" sheetId="4" state="visible" r:id="rId6"/>
    <sheet name="4_Channel_Fit" sheetId="5" state="visible" r:id="rId7"/>
    <sheet name="5_90Day_Plan" sheetId="6" state="visible" r:id="rId8"/>
    <sheet name="6_Benchmark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<sst xmlns="http://schemas.openxmlformats.org/spreadsheetml/2006/main" count="793" uniqueCount="686">
  <si>
    <t xml:space="preserve">VFO2O-06  |  DAY 22 • MONETIZATION MODEL</t>
  </si>
  <si>
    <t xml:space="preserve">BẢN MẪU HOÀN CHỈNH · Học viên Nguyễn Long Khánh · MHV 2A202602649 · Ngày nghiên cứu 08/10/2026 · Đơn vị VND</t>
  </si>
  <si>
    <t xml:space="preserve">BẢN TÓM TẮT 1 TRANG — XƯỞNG TRẢ TIỀN, CHỦ XE MIỄN PHÍ</t>
  </si>
  <si>
    <t xml:space="preserve">Sản phẩm</t>
  </si>
  <si>
    <t xml:space="preserve">AI lập kế hoạch bảo dưỡng EV</t>
  </si>
  <si>
    <t xml:space="preserve">B2B2C</t>
  </si>
  <si>
    <t xml:space="preserve">Rule Engine → RAG → Estimate → Workshop → Booking → CVDV</t>
  </si>
  <si>
    <t xml:space="preserve">Buyer</t>
  </si>
  <si>
    <t xml:space="preserve">Chủ xưởng / workshop network</t>
  </si>
  <si>
    <t xml:space="preserve">Ops budget</t>
  </si>
  <si>
    <t xml:space="preserve">Người dùng cuối (chủ xe) được miễn phí</t>
  </si>
  <si>
    <t xml:space="preserve">Job có giá trị</t>
  </si>
  <si>
    <t xml:space="preserve">Booking được CVDV xác nhận</t>
  </si>
  <si>
    <t xml:space="preserve">booking_confirmed</t>
  </si>
  <si>
    <t xml:space="preserve">Tính 1 lần/book/cycle; không tính request bị reject</t>
  </si>
  <si>
    <t xml:space="preserve">Value Metric</t>
  </si>
  <si>
    <t xml:space="preserve">Hybrid: phí gói + overage</t>
  </si>
  <si>
    <t xml:space="preserve">workshop/month</t>
  </si>
  <si>
    <t xml:space="preserve">Starter gồm 190 confirmed bookings; không thu % invoice</t>
  </si>
  <si>
    <t xml:space="preserve">KẾT QUẢ THAM CHIẾU — TOÀN BỘ LÀ CÔNG THỨC TỪ CÁC TAB</t>
  </si>
  <si>
    <t xml:space="preserve">Số job hoàn thành/tháng</t>
  </si>
  <si>
    <t xml:space="preserve">booking</t>
  </si>
  <si>
    <t xml:space="preserve">Đã tính AI completion × advisor acceptance</t>
  </si>
  <si>
    <t xml:space="preserve">Chi phí trực tiếp/job</t>
  </si>
  <si>
    <t xml:space="preserve">VND / booking</t>
  </si>
  <si>
    <t xml:space="preserve">API + infra + retry + QA/escalations; chưa overhead</t>
  </si>
  <si>
    <t xml:space="preserve">GIÁ SÀN / JOB (3× Cost)</t>
  </si>
  <si>
    <t xml:space="preserve">Đổi từ cost thành floor</t>
  </si>
  <si>
    <t xml:space="preserve">GIÁ GÓI STARTER / XƯỞNG</t>
  </si>
  <si>
    <t xml:space="preserve">VND / tháng</t>
  </si>
  <si>
    <t xml:space="preserve">190 bookings trong gói</t>
  </si>
  <si>
    <t xml:space="preserve">GIÁ TRẦN / XƯỞNG</t>
  </si>
  <si>
    <t xml:space="preserve">25% giả định value; chưa đo</t>
  </si>
  <si>
    <t xml:space="preserve">Gross Margin tiền gói</t>
  </si>
  <si>
    <t xml:space="preserve">%</t>
  </si>
  <si>
    <t xml:space="preserve">Không bao gồm R&amp;D/sales overhead</t>
  </si>
  <si>
    <t xml:space="preserve">Ngưỡng AI containment tối thiểu</t>
  </si>
  <si>
    <t xml:space="preserve">Để GM/job quy đổi ≥60%</t>
  </si>
  <si>
    <t xml:space="preserve">Containment giả định</t>
  </si>
  <si>
    <t xml:space="preserve">CHƯA có pilot; cần thay</t>
  </si>
  <si>
    <t xml:space="preserve">CAC BUDGET / XƯỞNG</t>
  </si>
  <si>
    <t xml:space="preserve">VND / khách</t>
  </si>
  <si>
    <t xml:space="preserve">ARPU×GM×12 tháng</t>
  </si>
  <si>
    <t xml:space="preserve">Kênh GTM đã chọn</t>
  </si>
  <si>
    <t xml:space="preserve">1 kênh</t>
  </si>
  <si>
    <t xml:space="preserve">Founder-led sales 90 ngày, không mở Sales team ngay</t>
  </si>
  <si>
    <t xml:space="preserve">Kết luận giá</t>
  </si>
  <si>
    <t xml:space="preserve">PASS/FIX</t>
  </si>
  <si>
    <t xml:space="preserve">Tạm đạt trên bộ assumptions, KHÔNG phải validation</t>
  </si>
  <si>
    <t xml:space="preserve">ĐIỀU KIỆN &amp; ĐỊNH NGHĨA KHÔNG ĐƯỢC NHẦM</t>
  </si>
  <si>
    <t xml:space="preserve">Completed job</t>
  </si>
  <si>
    <t xml:space="preserve">1 maintenance cycle dẫn tới booking_confirmed của CVDV — đo value buyer; khác Core Action Day20 booking_request_created</t>
  </si>
  <si>
    <t xml:space="preserve">Containment</t>
  </si>
  <si>
    <t xml:space="preserve">AI xử lý đến booking_request_created mà không có vendor escalation; advisor confirmation chuẩn KHÔNG tính AI thất bại</t>
  </si>
  <si>
    <t xml:space="preserve">Denominator</t>
  </si>
  <si>
    <t xml:space="preserve">Cost/job = TẤT CẢ chi phí phục vụ attempted cases / số job confirmed, không chia cho attempted</t>
  </si>
  <si>
    <t xml:space="preserve">Gross Margin</t>
  </si>
  <si>
    <t xml:space="preserve">(Subscription + overage − COGS trực tiếp) / doanh thu; R&amp;D/sales overhead tách riêng</t>
  </si>
  <si>
    <t xml:space="preserve">Breakeven rate</t>
  </si>
  <si>
    <t xml:space="preserve">Đặt unit-equivalent GM ≥60% theo giá gói/quota; cash GM subscription có thể vẫn đẹp khi usage thấp</t>
  </si>
  <si>
    <t xml:space="preserve">Value Ceiling</t>
  </si>
  <si>
    <t xml:space="preserve">25% contribution lợi ích giả định của xưởng; chưa có counterfactual, phải chứng minh trong pilot</t>
  </si>
  <si>
    <t xml:space="preserve">Unpaid usage</t>
  </si>
  <si>
    <t xml:space="preserve">Không có mô hình AI vô hạn miễn phí; traffic user chưa thuộc xưởng trả phí cần được đo riêng và tính vào economics</t>
  </si>
  <si>
    <t xml:space="preserve">Phí tháng ≠ % invoice</t>
  </si>
  <si>
    <t xml:space="preserve">Không tính % hóa đơn sửa phát sinh vì AI không chứng minh được doanh thu đó là do Agent</t>
  </si>
  <si>
    <t xml:space="preserve">HƯỚNG DẪN LÀM THEO BÀI LAB</t>
  </si>
  <si>
    <t xml:space="preserve">0_README</t>
  </si>
  <si>
    <t xml:space="preserve">Đọc câu chuyện kinh doanh và những giới hạn của con số.</t>
  </si>
  <si>
    <t xml:space="preserve">1_Cost_Job</t>
  </si>
  <si>
    <t xml:space="preserve">Thay ô vàng bằng case logs / đơn giá vendor / hóa đơn cloud / payroll; xem B64 + B66.</t>
  </si>
  <si>
    <t xml:space="preserve">2_Pricing</t>
  </si>
  <si>
    <t xml:space="preserve">Đối chiếu floor, value ceiling, cash GM, stress containment và shock API.</t>
  </si>
  <si>
    <t xml:space="preserve">3_Value_Metric</t>
  </si>
  <si>
    <t xml:space="preserve">Bảo vệ Hybrid bằng Attribution × Autonomy và benchmark 2 sản phẩm.</t>
  </si>
  <si>
    <t xml:space="preserve">4_Channel_Fit</t>
  </si>
  <si>
    <t xml:space="preserve">Tính CAC budget, deal/ngày; CPO Việt Nam là assumption, không tuyên bố kênh đã scale.</t>
  </si>
  <si>
    <t xml:space="preserve">5_90Day_Plan</t>
  </si>
  <si>
    <t xml:space="preserve">90 ngày chỉ học → pilot → verify; Evidence Pack 3 tài sản có owner và deadline.</t>
  </si>
  <si>
    <t xml:space="preserve">6_Benchmarks</t>
  </si>
  <si>
    <t xml:space="preserve">Nguồn API, FX, benchmark có URL; kiểm tra lại giá trước ngày nộp.</t>
  </si>
  <si>
    <t xml:space="preserve">MÃ MÀU &amp; TRẠNG THÁI DỮ LIỆU</t>
  </si>
  <si>
    <t xml:space="preserve">VÀNG — INPUT</t>
  </si>
  <si>
    <t xml:space="preserve">Nhập/sửa được; phần lớn là ASSUMPTION chưa có pilot</t>
  </si>
  <si>
    <t xml:space="preserve">XANH NHẠT — KẾT QUẢ</t>
  </si>
  <si>
    <t xml:space="preserve">Công thức Excel tự tính, không nên gõ đè</t>
  </si>
  <si>
    <t xml:space="preserve">XANH LÁ — THAM CHIẾU</t>
  </si>
  <si>
    <t xml:space="preserve">Dữ liệu kéo từ tab khác, tự cập nhật</t>
  </si>
  <si>
    <t xml:space="preserve">SOURCE</t>
  </si>
  <si>
    <t xml:space="preserve">URL plain text của nguồn công khai ở 6_Benchmarks</t>
  </si>
  <si>
    <t xml:space="preserve">BẢN MẪU CHO BÀI LAB, KHÔNG PHẢI BÁO GIÁ ĐÃ PHÊ DUYỆT: lưu ý tỷ lệ contain 78%, uplift 24 bookings, giá xưởng 4,69 triệu, CPO VN 8 triệu đều là GIẢ ĐỊNH. Workbook tự tính, nhưng tính đúng không đồng nghĩa giả định đúng.</t>
  </si>
  <si>
    <t xml:space="preserve">01 • COST / JOB — 5 THÀNH PHẦN</t>
  </si>
  <si>
    <t xml:space="preserve">VFO2O-06 · Workshop B2B2C · Đầu vào màu vàng, giá trị tính màu xanh nhạt, liên kết sheet màu xanh lá · Chưa có pilot</t>
  </si>
  <si>
    <t xml:space="preserve">S1  •  ĐỊNH NGHĨA JOB VÀ RANH GIỚI CHI PHÍ</t>
  </si>
  <si>
    <t xml:space="preserve">Định nghĩa 1 job</t>
  </si>
  <si>
    <t xml:space="preserve">1 booking định kỳ được CVDV xác nhận</t>
  </si>
  <si>
    <t xml:space="preserve">job có giá trị</t>
  </si>
  <si>
    <t xml:space="preserve">Agent tạo plan + request; chủ xe đồng ý; xưởng xác nhận; 1 mã booking + cycle</t>
  </si>
  <si>
    <t xml:space="preserve">Sự kiện đếm hoàn thành</t>
  </si>
  <si>
    <t xml:space="preserve">event</t>
  </si>
  <si>
    <t xml:space="preserve">Không đếm request còn pending / rejected; không tính lại khi đổi ca</t>
  </si>
  <si>
    <t xml:space="preserve">Không tính là job</t>
  </si>
  <si>
    <t xml:space="preserve">Click / Chat / Reminder / Failed Request</t>
  </si>
  <si>
    <t xml:space="preserve">loại trừ</t>
  </si>
  <si>
    <t xml:space="preserve">Chỉ tính một lần trên unique booking_id + maintenance_cycle_id</t>
  </si>
  <si>
    <t xml:space="preserve">Ai trả tiền?</t>
  </si>
  <si>
    <t xml:space="preserve">Xưởng đăng ký trả phí</t>
  </si>
  <si>
    <t xml:space="preserve">Chủ xe dùng miễn phí; Cố vấn dịch vụ trả công từ ngân sách của xưởng</t>
  </si>
  <si>
    <t xml:space="preserve">HITL loại</t>
  </si>
  <si>
    <t xml:space="preserve">A — xưởng tự xử lý</t>
  </si>
  <si>
    <t xml:space="preserve">SaaS</t>
  </si>
  <si>
    <t xml:space="preserve">Công của Cố vấn dịch vụ không vào COGS nhà cung cấp; internal QA/escalation vẫn tính</t>
  </si>
  <si>
    <t xml:space="preserve">S2  •  KHỐI LƯỢNG VÀ DENOMINATOR</t>
  </si>
  <si>
    <t xml:space="preserve">Maintenance cases thử / tháng</t>
  </si>
  <si>
    <t xml:space="preserve">case / tháng</t>
  </si>
  <si>
    <t xml:space="preserve">GIẢ ĐỊNH: 6 xưởng, 250 ca thử/xưởng/tháng</t>
  </si>
  <si>
    <t xml:space="preserve">Số xưởng trả phí</t>
  </si>
  <si>
    <t xml:space="preserve">xưởng</t>
  </si>
  <si>
    <t xml:space="preserve">GIẢ ĐỊNH để phân bổ server / support</t>
  </si>
  <si>
    <t xml:space="preserve">AI hoàn tất đến booking request</t>
  </si>
  <si>
    <t xml:space="preserve">% case thử</t>
  </si>
  <si>
    <t xml:space="preserve">GIẢ ĐỊNH containment nghiệp vụ trước khi CVDV duyệt</t>
  </si>
  <si>
    <t xml:space="preserve">CVDV chấp nhận request</t>
  </si>
  <si>
    <t xml:space="preserve">% request hợp lệ</t>
  </si>
  <si>
    <t xml:space="preserve">GIẢ ĐỊNH; confirmation chuẩn, không tính là AI exception</t>
  </si>
  <si>
    <t xml:space="preserve">Job HOÀN THÀNH / tháng</t>
  </si>
  <si>
    <t xml:space="preserve">confirmed booking</t>
  </si>
  <si>
    <t xml:space="preserve">Mẫu số chính thức. Không chia cho số case thử.</t>
  </si>
  <si>
    <t xml:space="preserve">Case thử / xưởng / tháng</t>
  </si>
  <si>
    <t xml:space="preserve">case / xưởng</t>
  </si>
  <si>
    <t xml:space="preserve">Quy mô theo 1 workshop</t>
  </si>
  <si>
    <t xml:space="preserve">Job hoàn thành / xưởng / tháng</t>
  </si>
  <si>
    <t xml:space="preserve">booking / xưởng</t>
  </si>
  <si>
    <t xml:space="preserve">Dùng trong Pricing và Value Assumptions</t>
  </si>
  <si>
    <t xml:space="preserve">% case AI thất bại cần QA can thiệp</t>
  </si>
  <si>
    <t xml:space="preserve">% failed cases</t>
  </si>
  <si>
    <t xml:space="preserve">GIẢ ĐỊNH: chỉ tỷ lệ này tốn human nội bộ của vendor; còn lại khách/xưởng xử lý</t>
  </si>
  <si>
    <t xml:space="preserve">S3  •  LLM TOKEN / CACHING (TÍNH TOÀN BỘ CASE THỬ)</t>
  </si>
  <si>
    <t xml:space="preserve">Fresh input tokens / attempted case</t>
  </si>
  <si>
    <t xml:space="preserve">tokens</t>
  </si>
  <si>
    <t xml:space="preserve">GIẢ ĐỊNH tổng input chưa cache qua nhiều tool calls</t>
  </si>
  <si>
    <t xml:space="preserve">Cached input tokens / attempted case</t>
  </si>
  <si>
    <t xml:space="preserve">GIẢ ĐỊNH đã tối ưu reuse context; phí storage cache nằm trong Infra biến đổi</t>
  </si>
  <si>
    <t xml:space="preserve">Output tokens / attempted case</t>
  </si>
  <si>
    <t xml:space="preserve">Bao gồm reasoning/thinking nếu model có tính, cần đo từ logs</t>
  </si>
  <si>
    <t xml:space="preserve">Tỷ giá USD/VND</t>
  </si>
  <si>
    <t xml:space="preserve">VND / USD</t>
  </si>
  <si>
    <t xml:space="preserve">NCB ngày 08/10/2026</t>
  </si>
  <si>
    <t xml:space="preserve">Giá input Gemini 2.5 Flash</t>
  </si>
  <si>
    <t xml:space="preserve">USD / 1M</t>
  </si>
  <si>
    <t xml:space="preserve">Nguồn Google chính thức</t>
  </si>
  <si>
    <t xml:space="preserve">Giá cached input</t>
  </si>
  <si>
    <t xml:space="preserve">Google cached context; lưu trữ ở Infra</t>
  </si>
  <si>
    <t xml:space="preserve">Giá output</t>
  </si>
  <si>
    <t xml:space="preserve">Google; đã tính thinking tokens</t>
  </si>
  <si>
    <t xml:space="preserve">Chi phí LLM / case thử</t>
  </si>
  <si>
    <t xml:space="preserve">VND / attempted</t>
  </si>
  <si>
    <t xml:space="preserve">Không tính free tier; đầu ra VND, chưa có retries</t>
  </si>
  <si>
    <t xml:space="preserve">LLM / tháng</t>
  </si>
  <si>
    <t xml:space="preserve">API cost trước retry</t>
  </si>
  <si>
    <t xml:space="preserve">LLM / case nếu KHÔNG cache</t>
  </si>
  <si>
    <t xml:space="preserve">VND / case</t>
  </si>
  <si>
    <t xml:space="preserve">So sánh để biết caching tiết kiệm bao nhiêu</t>
  </si>
  <si>
    <t xml:space="preserve">% tiết kiệm nhờ cache</t>
  </si>
  <si>
    <t xml:space="preserve">Chưa gồm chi phí storage cache, đã tính gộp trong Infra</t>
  </si>
  <si>
    <t xml:space="preserve">S4  •  SPEECH: KHÔNG ÁP DỤNG</t>
  </si>
  <si>
    <t xml:space="preserve">STT/TTS</t>
  </si>
  <si>
    <t xml:space="preserve">Không sử dụng thoại</t>
  </si>
  <si>
    <t xml:space="preserve">N/A</t>
  </si>
  <si>
    <t xml:space="preserve">MVP là web/text; không tính chi phí voice</t>
  </si>
  <si>
    <t xml:space="preserve">Speech COGS / tháng</t>
  </si>
  <si>
    <t xml:space="preserve">VND</t>
  </si>
  <si>
    <t xml:space="preserve">0 có lý do: không dùng STT, TTS hoặc telephony trong MVP</t>
  </si>
  <si>
    <t xml:space="preserve">S5  •  INFRASTRUCTURE VÀ CHI PHÍ PHỤC VỤ</t>
  </si>
  <si>
    <t xml:space="preserve">Server + DB + vector + monitoring</t>
  </si>
  <si>
    <t xml:space="preserve">GIẢ ĐỊNH tổng hóa đơn shared cloud 6 xưởng; validate invoices</t>
  </si>
  <si>
    <t xml:space="preserve">Hạ tầng/support trực tiếp riêng xưởng</t>
  </si>
  <si>
    <t xml:space="preserve">VND / xưởng/tháng</t>
  </si>
  <si>
    <t xml:space="preserve">GIẢ ĐỊNH: tenant maintenance, logs, backup, hỗ trợ kỹ thuật trực tiếp</t>
  </si>
  <si>
    <t xml:space="preserve">Infra biến đổi / attempted case</t>
  </si>
  <si>
    <t xml:space="preserve">GIẢ ĐỊNH: embedding, notification, cache storage, log/egress</t>
  </si>
  <si>
    <t xml:space="preserve">Infra tổng / tháng</t>
  </si>
  <si>
    <t xml:space="preserve">Bao gồm chi phí cố định và biến đổi</t>
  </si>
  <si>
    <t xml:space="preserve">Infra / case thử</t>
  </si>
  <si>
    <t xml:space="preserve">Không phân bổ theo completed job ở bước này</t>
  </si>
  <si>
    <t xml:space="preserve">S6  •  RETRY</t>
  </si>
  <si>
    <t xml:space="preserve">Retry rate</t>
  </si>
  <si>
    <t xml:space="preserve">GIẢ ĐỊNH 8% API token phải chạy lại, không cộng double full cost infra</t>
  </si>
  <si>
    <t xml:space="preserve">Retry LLM / tháng</t>
  </si>
  <si>
    <t xml:space="preserve">Chỉ retry phần API. E2E retry cần log và thêm backend cost nếu có.</t>
  </si>
  <si>
    <t xml:space="preserve">S7  •  HITL — BIẾN THỂ A (VENDOR VS KHÁCH)</t>
  </si>
  <si>
    <t xml:space="preserve">HITL CVDV xưởng</t>
  </si>
  <si>
    <t xml:space="preserve">Khách chịu chi phí</t>
  </si>
  <si>
    <t xml:space="preserve">biến thể A</t>
  </si>
  <si>
    <t xml:space="preserve">Vendor KHÔNG trả lương cố vấn xác nhận booking; không nhập chi phí này vào COGS</t>
  </si>
  <si>
    <t xml:space="preserve">Internal QA sample rate</t>
  </si>
  <si>
    <t xml:space="preserve">% attempted</t>
  </si>
  <si>
    <t xml:space="preserve">GIẢ ĐỊNH kiểm định chất lượng 8% case</t>
  </si>
  <si>
    <t xml:space="preserve">Thời gian QA / case</t>
  </si>
  <si>
    <t xml:space="preserve">phút / case</t>
  </si>
  <si>
    <t xml:space="preserve">GIẢ ĐỊNH đo và sample pilot</t>
  </si>
  <si>
    <t xml:space="preserve">Chi phí nhân sự QA vendor</t>
  </si>
  <si>
    <t xml:space="preserve">VND / giờ</t>
  </si>
  <si>
    <t xml:space="preserve">GIẢ ĐỊNH fully-loaded reviewer, chưa được xác minh payroll</t>
  </si>
  <si>
    <t xml:space="preserve">Tỷ lệ failed cần vendor xử lý</t>
  </si>
  <si>
    <t xml:space="preserve">% AI thất bại</t>
  </si>
  <si>
    <t xml:space="preserve">Liên kết từ S2; tránh nhập trùng</t>
  </si>
  <si>
    <t xml:space="preserve">Thời gian xử lý failed case</t>
  </si>
  <si>
    <t xml:space="preserve">GIẢ ĐỊNH vendor hỗ trợ phần lỗi escalation do agent</t>
  </si>
  <si>
    <t xml:space="preserve">HITL CVDV tính vào COGS của vendor</t>
  </si>
  <si>
    <t xml:space="preserve">Bằng 0 vì workshop tự trả theo hợp đồng biến thể A</t>
  </si>
  <si>
    <t xml:space="preserve">Internal QA / tháng</t>
  </si>
  <si>
    <t xml:space="preserve">QA vendor trực tiếp phục vụ case, có vào COGS</t>
  </si>
  <si>
    <t xml:space="preserve">Internal escalation / tháng</t>
  </si>
  <si>
    <t xml:space="preserve">Tăng khi containment giảm: rất quan trọng cho stress test</t>
  </si>
  <si>
    <t xml:space="preserve">Tổng vendor HITL / tháng</t>
  </si>
  <si>
    <t xml:space="preserve">Không đẩy QA/escalation về 0 vì đã có CVDV</t>
  </si>
  <si>
    <t xml:space="preserve">S8  •  OVERHEAD + COST / JOB</t>
  </si>
  <si>
    <t xml:space="preserve">R&amp;D / Sales / G&amp;A overhead</t>
  </si>
  <si>
    <t xml:space="preserve">GIẢ ĐỊNH; chỉ vào fully-loaded cost, KHÔNG vào COGS/gross margin</t>
  </si>
  <si>
    <t xml:space="preserve">TỔNG DIRECT COST / tháng</t>
  </si>
  <si>
    <t xml:space="preserve">API + Infra + HITL + Retry + free-user traffic + Speech (N/A); overhead riêng</t>
  </si>
  <si>
    <t xml:space="preserve">COST / JOB HOÀN THÀNH</t>
  </si>
  <si>
    <t xml:space="preserve">VND / confirmed</t>
  </si>
  <si>
    <t xml:space="preserve">QUAN TRỌNG: mẫu số booking_confirmed, không phải 1.500 attempted</t>
  </si>
  <si>
    <t xml:space="preserve">Overhead / completed job</t>
  </si>
  <si>
    <t xml:space="preserve">Để tính fully-loaded cost riêng</t>
  </si>
  <si>
    <t xml:space="preserve">Fully-loaded cost / completed job</t>
  </si>
  <si>
    <t xml:space="preserve">Gồm overhead, khác GM cost/job</t>
  </si>
  <si>
    <t xml:space="preserve">Direct cost / attempted case</t>
  </si>
  <si>
    <t xml:space="preserve">Dùng làm sanity check</t>
  </si>
  <si>
    <t xml:space="preserve">CHI PHÍ CỦA CHỦ XE FREE NGOÀI XƯỞNG TRẢ PHÍ</t>
  </si>
  <si>
    <t xml:space="preserve">Free case ngoài tenant trả phí/tháng</t>
  </si>
  <si>
    <t xml:space="preserve">GIẢ ĐỊNH lượng user free vẫn có AI tư vấn nhưng chưa vào funnel xưởng</t>
  </si>
  <si>
    <t xml:space="preserve">Direct cost / free case</t>
  </si>
  <si>
    <t xml:space="preserve">GIẢ ĐỊNH giới hạn usage; gồm token/notification phân bổ</t>
  </si>
  <si>
    <t xml:space="preserve">Chi phí free traffic / tháng</t>
  </si>
  <si>
    <t xml:space="preserve">Phân bổ về direct cost nhằm tránh bỏ quên sản phẩm miễn phí</t>
  </si>
  <si>
    <t xml:space="preserve">QUAN TRỌNG: Số liệu dự báo, chưa đo Evals/Pilot. Subscription của xưởng vẫn thu khi usage thấp; ngưỡng containment ở Tab 2 là kiểm tra unit economics theo 1 job đủ điều kiện, không phải dòng tiền thu phí cố định.</t>
  </si>
  <si>
    <t xml:space="preserve">02 • PRICING &amp; UNIT ECONOMICS</t>
  </si>
  <si>
    <t xml:space="preserve">Đơn vị VND · Giá gói xưởng (chủ xe miễn phí) · Cận dưới 3× Cost/Job, cận trên 25% giá trị đo được · kịch bản giả định</t>
  </si>
  <si>
    <t xml:space="preserve">GÓI BÁN — CHỦ XE FREE / XƯỞNG SUBSCRIPTION + USAGE</t>
  </si>
  <si>
    <t xml:space="preserve">Gói người dùng/chủ xe</t>
  </si>
  <si>
    <t xml:space="preserve">Miễn phí; freemium exposure phải theo dõi nếu traffic vượt quota</t>
  </si>
  <si>
    <t xml:space="preserve">Cơ chế</t>
  </si>
  <si>
    <t xml:space="preserve">Hybrid (gói + overage)</t>
  </si>
  <si>
    <t xml:space="preserve">1 xưởng trả phí gói tháng; fee vượt theo booking_confirmed hợp lệ</t>
  </si>
  <si>
    <t xml:space="preserve">STARTER / xưởng / tháng</t>
  </si>
  <si>
    <t xml:space="preserve">GIẢ ĐỊNH GIÁ ĐỀ XUẤT; chưa phỏng vấn WTP</t>
  </si>
  <si>
    <t xml:space="preserve">Starter bao gồm</t>
  </si>
  <si>
    <t xml:space="preserve">job confirmed/tháng</t>
  </si>
  <si>
    <t xml:space="preserve">Unused quota không hoàn tiền/không cộng dồn; 1 job chỉ billed một lần</t>
  </si>
  <si>
    <t xml:space="preserve">Overage Starter</t>
  </si>
  <si>
    <t xml:space="preserve">VND / job thêm</t>
  </si>
  <si>
    <t xml:space="preserve">Khi vượt 190; confirmed + không trùng</t>
  </si>
  <si>
    <t xml:space="preserve">PRO / xưởng / tháng</t>
  </si>
  <si>
    <t xml:space="preserve">Ý tưởng cho xưởng volume lớn — chỉ dùng định hướng, chưa pilot</t>
  </si>
  <si>
    <t xml:space="preserve">Pro bao gồm</t>
  </si>
  <si>
    <t xml:space="preserve">Bắt buộc kiểm tra riêng volume &amp; unit cost trước bán</t>
  </si>
  <si>
    <t xml:space="preserve">Overage PRO</t>
  </si>
  <si>
    <t xml:space="preserve">Đơn giá tham khảo, chưa có validation</t>
  </si>
  <si>
    <t xml:space="preserve">DOANH THU DỰ BÁO VÀ BIÊN LỢI NHUẬN</t>
  </si>
  <si>
    <t xml:space="preserve">Số booking / xưởng / tháng</t>
  </si>
  <si>
    <t xml:space="preserve">Lấy từ job completed / số xưởng</t>
  </si>
  <si>
    <t xml:space="preserve">Starter overage / xưởng</t>
  </si>
  <si>
    <t xml:space="preserve">Gói cơ bản gồm 190 job mỗi tháng</t>
  </si>
  <si>
    <t xml:space="preserve">Doanh thu/xưởng dự báo</t>
  </si>
  <si>
    <t xml:space="preserve">Chưa VAT và chưa tính setup fee</t>
  </si>
  <si>
    <t xml:space="preserve">Tổng doanh thu tháng</t>
  </si>
  <si>
    <t xml:space="preserve">6 xưởng đều mua Starter; giả định</t>
  </si>
  <si>
    <t xml:space="preserve">COGS trực tiếp/tháng</t>
  </si>
  <si>
    <t xml:space="preserve">Tính từ API + infra + QA + retry</t>
  </si>
  <si>
    <t xml:space="preserve">Gross Margin (thực thu gói)</t>
  </si>
  <si>
    <t xml:space="preserve">Không trừ R&amp;D/Sales overhead trong GM</t>
  </si>
  <si>
    <t xml:space="preserve">Cost/job hoàn thành</t>
  </si>
  <si>
    <t xml:space="preserve">Bao gồm chi phí mọi case thất bại trong tử số</t>
  </si>
  <si>
    <t xml:space="preserve">GIÁ SÀN / JOB = 3 × Cost</t>
  </si>
  <si>
    <t xml:space="preserve">Quy tắc thận trọng của bài lab</t>
  </si>
  <si>
    <t xml:space="preserve">Đơn giá gói khi hết quota</t>
  </si>
  <si>
    <t xml:space="preserve">Công thức quy đổi subscription sang price/job</t>
  </si>
  <si>
    <t xml:space="preserve">Sàn gói STARTER = floor × quota</t>
  </si>
  <si>
    <t xml:space="preserve">Đảm bảo gói vẫn đạt 3× Cost/job ở quota full</t>
  </si>
  <si>
    <t xml:space="preserve">PASS giá sàn?</t>
  </si>
  <si>
    <t xml:space="preserve">PASS/FAIL</t>
  </si>
  <si>
    <t xml:space="preserve">Nếu Không đạt: giảm quota / tăng giá / giảm COGS</t>
  </si>
  <si>
    <t xml:space="preserve">VALUE CEILING — CHỈ LÀ HYPOTHESIS CẦN ĐO Ở XƯỞNG</t>
  </si>
  <si>
    <t xml:space="preserve">Tiết kiệm thao tác/booking</t>
  </si>
  <si>
    <t xml:space="preserve">phút / booking</t>
  </si>
  <si>
    <t xml:space="preserve">GIẢ ĐỊNH: so baseline thủ công với agent có logs</t>
  </si>
  <si>
    <t xml:space="preserve">Chi phí CVDV/giờ</t>
  </si>
  <si>
    <t xml:space="preserve">GIẢ ĐỊNH chi phí lao động đầy đủ; cần khảo sát</t>
  </si>
  <si>
    <t xml:space="preserve">Booking TĂNG THÊM do Agent / xưởng</t>
  </si>
  <si>
    <t xml:space="preserve">booking/tháng</t>
  </si>
  <si>
    <t xml:space="preserve">GIẢ ĐỊNH counterfactual quan trọng; chưa chứng minh attribution</t>
  </si>
  <si>
    <t xml:space="preserve">Contribution margin / booking tăng</t>
  </si>
  <si>
    <t xml:space="preserve">GIẢ ĐỊNH LỢI NHUẬN ĐÓNG GÓP, không lấy doanh thu hóa đơn</t>
  </si>
  <si>
    <t xml:space="preserve">No-show được cứu / tháng</t>
  </si>
  <si>
    <t xml:space="preserve">GIẢ ĐỊNH, chưa đo baseline no-show</t>
  </si>
  <si>
    <t xml:space="preserve">Margin giữ lại / no-show</t>
  </si>
  <si>
    <t xml:space="preserve">GIẢ ĐỊNH, không double count với booking tăng thêm</t>
  </si>
  <si>
    <t xml:space="preserve">Tiết kiệm lao động / xưởng</t>
  </si>
  <si>
    <t xml:space="preserve">Thời gian × chi phí giờ; phải chứng minh tiết kiệm thực sự</t>
  </si>
  <si>
    <t xml:space="preserve">Margin booking tăng thêm</t>
  </si>
  <si>
    <t xml:space="preserve">Không tính doanh thu; dùng contribution margin</t>
  </si>
  <si>
    <t xml:space="preserve">Giá trị giảm no-show</t>
  </si>
  <si>
    <t xml:space="preserve">Nếu trùng booking tăng thêm, đặt 0 để tránh double count</t>
  </si>
  <si>
    <t xml:space="preserve">TỔNG VALUE / XƯỞNG</t>
  </si>
  <si>
    <t xml:space="preserve">Chưa có pilot → working assumption</t>
  </si>
  <si>
    <t xml:space="preserve">Khoảng capture thấp</t>
  </si>
  <si>
    <t xml:space="preserve">% value</t>
  </si>
  <si>
    <t xml:space="preserve">Guideline bài lab (heuristic)</t>
  </si>
  <si>
    <t xml:space="preserve">Ngưỡng capture cao</t>
  </si>
  <si>
    <t xml:space="preserve">Guideline bài lab (heuristic, không có tính pháp lý)</t>
  </si>
  <si>
    <t xml:space="preserve">GIÁ TRẦN = 25% VALUE</t>
  </si>
  <si>
    <t xml:space="preserve">Cần chứng minh value bằng pilot, không tự coi là giá thị trường</t>
  </si>
  <si>
    <t xml:space="preserve">Tỷ lệ giữ lại value bằng phí</t>
  </si>
  <si>
    <t xml:space="preserve">Nằm giữa 10–25% giá trị đo được nếu assumption đúng</t>
  </si>
  <si>
    <t xml:space="preserve">KIỂM TRA CẢ 3 ĐIỀU KIỆN</t>
  </si>
  <si>
    <t xml:space="preserve">đánh giá</t>
  </si>
  <si>
    <t xml:space="preserve">3xCost, price&lt;=25%value, GM&gt;=60%; TẠM vì value chưa kiểm chứng</t>
  </si>
  <si>
    <t xml:space="preserve">BREAKEVEN CONTAINMENT — KIỂM TRA GM/JOB, KHÔNG PHẢI GM TIỀN GÓI</t>
  </si>
  <si>
    <t xml:space="preserve">Chi phí bán hàng/R&amp;D tháng</t>
  </si>
  <si>
    <t xml:space="preserve">Excluded khỏi Gross Margin; có trong fully loaded cost</t>
  </si>
  <si>
    <t xml:space="preserve">Lợi nhuận sau overhead</t>
  </si>
  <si>
    <t xml:space="preserve">Chỉ là contribution sau overhead giả định, chưa thuế</t>
  </si>
  <si>
    <t xml:space="preserve">Mục tiêu GM tối thiểu</t>
  </si>
  <si>
    <t xml:space="preserve">Theo ngưỡng lab 60%</t>
  </si>
  <si>
    <t xml:space="preserve">K = escalation khi AI thất bại hết</t>
  </si>
  <si>
    <t xml:space="preserve">K×(1-p), p = tỷ lệ AI hoàn tất booking request</t>
  </si>
  <si>
    <t xml:space="preserve">C0 = direct cost không gồm escalation</t>
  </si>
  <si>
    <t xml:space="preserve">Phần direct cost giả định ít phụ thuộc p</t>
  </si>
  <si>
    <t xml:space="preserve">MIN AI completion rate để GM/job ≥ 60%</t>
  </si>
  <si>
    <t xml:space="preserve">Giải phương trình ((C0+K(1-p))/(N*p*a)) ≤ (1-GM)*price/job</t>
  </si>
  <si>
    <t xml:space="preserve">Khoảng đệm containment</t>
  </si>
  <si>
    <t xml:space="preserve">điểm %</t>
  </si>
  <si>
    <t xml:space="preserve">Dương: đang vượt ngưỡng theo giả định</t>
  </si>
  <si>
    <t xml:space="preserve">AI completion hiện giả định</t>
  </si>
  <si>
    <t xml:space="preserve">CHƯA CÓ EVAL THỰC TẾ</t>
  </si>
  <si>
    <t xml:space="preserve">STRESS TEST CONTAINMENT / GM THEO ĐƠN GIÁ QUY ĐỔI</t>
  </si>
  <si>
    <t xml:space="preserve">AI completion</t>
  </si>
  <si>
    <t xml:space="preserve">Job confirmed</t>
  </si>
  <si>
    <t xml:space="preserve">Direct cost/tháng</t>
  </si>
  <si>
    <t xml:space="preserve">Cost/job</t>
  </si>
  <si>
    <t xml:space="preserve">GM/job quy đổi</t>
  </si>
  <si>
    <t xml:space="preserve">STRESS TEST GIÁ API NHÂN ĐÔI &amp; GÓI PRO</t>
  </si>
  <si>
    <t xml:space="preserve">Hệ số tăng giá API</t>
  </si>
  <si>
    <t xml:space="preserve">×</t>
  </si>
  <si>
    <t xml:space="preserve">GIẢ ĐỊNH stress 2×; không nói đây là giá thực tế của Gemini</t>
  </si>
  <si>
    <t xml:space="preserve">COGS/tháng khi API giá × hệ số</t>
  </si>
  <si>
    <t xml:space="preserve">Chỉ shock phần API + API retries</t>
  </si>
  <si>
    <t xml:space="preserve">GM tiền gói sau shock API</t>
  </si>
  <si>
    <t xml:space="preserve">Giữ nguyên volume và giá gói</t>
  </si>
  <si>
    <t xml:space="preserve">PRO unit price / quota</t>
  </si>
  <si>
    <t xml:space="preserve">Cần tính lại COGS ở volume Pro thực tế; hiện chỉ đối chiếu conservative</t>
  </si>
  <si>
    <t xml:space="preserve">PRO qua sàn hiện tại?</t>
  </si>
  <si>
    <t xml:space="preserve">theo floor hiện tại</t>
  </si>
  <si>
    <t xml:space="preserve">Giá Pro cần kiểm thử ở volume đúng của gói Pro</t>
  </si>
  <si>
    <t xml:space="preserve">GIẢ ĐỊNH NGUY HIỂM NHẤT: 24 booking tăng thêm nhờ Agent / xưởng / tháng và contribution margin 650.000đ/booking. Không có A/B hoặc pilot → price ceiling chưa xác thực; giảm uplift sẽ làm giá trần thấp hơn giá sàn.</t>
  </si>
  <si>
    <t xml:space="preserve">03 • VALUE METRIC &amp; ĐƠN VỊ TÍNH TIỀN</t>
  </si>
  <si>
    <t xml:space="preserve">Trạm 2 · Attribution × Autonomy · So sánh 4 lựa chọn và quyết định Hybrid bảo vệ được</t>
  </si>
  <si>
    <t xml:space="preserve">BUYER / USER / BUDGET LINE</t>
  </si>
  <si>
    <t xml:space="preserve">End-user</t>
  </si>
  <si>
    <t xml:space="preserve">Chủ xe EV / O2O</t>
  </si>
  <si>
    <t xml:space="preserve">miễn phí</t>
  </si>
  <si>
    <t xml:space="preserve">Sử dụng AI plan, estimate, workshop recommendation, booking</t>
  </si>
  <si>
    <t xml:space="preserve">Chủ xưởng / quản lý mạng lưới xưởng</t>
  </si>
  <si>
    <t xml:space="preserve">B2B</t>
  </si>
  <si>
    <t xml:space="preserve">Mua giá trị vận hành + booking đủ điều kiện</t>
  </si>
  <si>
    <t xml:space="preserve">Budget line</t>
  </si>
  <si>
    <t xml:space="preserve">Vận hành xưởng / thu hút khách</t>
  </si>
  <si>
    <t xml:space="preserve">Ops + Acquisition</t>
  </si>
  <si>
    <t xml:space="preserve">Cần xác minh người ký mua và ngân sách thực tế</t>
  </si>
  <si>
    <t xml:space="preserve">Định vị</t>
  </si>
  <si>
    <t xml:space="preserve">Chuyển nhu cầu bảo dưỡng thành booking đủ điều kiện</t>
  </si>
  <si>
    <t xml:space="preserve">job-to-be-done</t>
  </si>
  <si>
    <t xml:space="preserve">Không bán chatbot, không bán 1 lần gọi API</t>
  </si>
  <si>
    <t xml:space="preserve">ATTRIBUTION × AUTONOMY — TRẠNG THÁI MVP HIỆN TẠI</t>
  </si>
  <si>
    <t xml:space="preserve">Attribution: trace booking</t>
  </si>
  <si>
    <t xml:space="preserve">Có event IDs</t>
  </si>
  <si>
    <t xml:space="preserve">CÓ THIẾT KẾ</t>
  </si>
  <si>
    <t xml:space="preserve">maintenance_cycle_id → booking_id, chưa có chứng minh nhân quả</t>
  </si>
  <si>
    <t xml:space="preserve">Attribution: incremental service</t>
  </si>
  <si>
    <t xml:space="preserve">Chưa có A/B</t>
  </si>
  <si>
    <t xml:space="preserve">CHƯA CÓ</t>
  </si>
  <si>
    <t xml:space="preserve">Không thể quy mọi hóa đơn/booking tăng thêm cho Agent</t>
  </si>
  <si>
    <t xml:space="preserve">Autonomy: flow tới booking request</t>
  </si>
  <si>
    <t xml:space="preserve">Tự chạy có điều kiện</t>
  </si>
  <si>
    <t xml:space="preserve">TRUNG BÌNH</t>
  </si>
  <si>
    <t xml:space="preserve">User phải xác nhận trước khi Agent tạo request</t>
  </si>
  <si>
    <t xml:space="preserve">Autonomy: xưởng confirm</t>
  </si>
  <si>
    <t xml:space="preserve">Cần CVDV</t>
  </si>
  <si>
    <t xml:space="preserve">HITL CHUẨN</t>
  </si>
  <si>
    <t xml:space="preserve">Không coi routine confirmation là AI failure</t>
  </si>
  <si>
    <t xml:space="preserve">Autonomy: exception</t>
  </si>
  <si>
    <t xml:space="preserve">Cần escalations</t>
  </si>
  <si>
    <t xml:space="preserve">CHƯA ĐO</t>
  </si>
  <si>
    <t xml:space="preserve">Internal vendor support khi Agent thất bại</t>
  </si>
  <si>
    <t xml:space="preserve">SO SÁNH 4 VALUE METRICS</t>
  </si>
  <si>
    <t xml:space="preserve">Mô hình</t>
  </si>
  <si>
    <t xml:space="preserve">Đơn vị thu phí</t>
  </si>
  <si>
    <t xml:space="preserve">Phù hợp VFO2O</t>
  </si>
  <si>
    <t xml:space="preserve">Rủi ro</t>
  </si>
  <si>
    <t xml:space="preserve">Khuyến nghị</t>
  </si>
  <si>
    <t xml:space="preserve">Ghi chú</t>
  </si>
  <si>
    <t xml:space="preserve">Seat</t>
  </si>
  <si>
    <t xml:space="preserve">Cố vấn dịch vụ</t>
  </si>
  <si>
    <t xml:space="preserve">THẤP</t>
  </si>
  <si>
    <t xml:space="preserve">Số staff khác usage</t>
  </si>
  <si>
    <t xml:space="preserve">KHÔNG</t>
  </si>
  <si>
    <t xml:space="preserve">Workshops dùng seat nhiều chưa chắc inference cao</t>
  </si>
  <si>
    <t xml:space="preserve">Usage</t>
  </si>
  <si>
    <t xml:space="preserve">Booking confirmed</t>
  </si>
  <si>
    <t xml:space="preserve">CAO</t>
  </si>
  <si>
    <t xml:space="preserve">Customer sợ bill biến động</t>
  </si>
  <si>
    <t xml:space="preserve">LỰA CHỌN THAY THẾ</t>
  </si>
  <si>
    <t xml:space="preserve">Usage phải dedupe / chống fraud</t>
  </si>
  <si>
    <t xml:space="preserve">Outcome</t>
  </si>
  <si>
    <t xml:space="preserve">% hóa đơn/đơn đã bảo dưỡng</t>
  </si>
  <si>
    <t xml:space="preserve">THẤP TRONG MVP</t>
  </si>
  <si>
    <t xml:space="preserve">Không thể chứng minh incremental value</t>
  </si>
  <si>
    <t xml:space="preserve">CHƯA CHỌN</t>
  </si>
  <si>
    <t xml:space="preserve">Không tính phí theo giá trị invoice có lỗi phát sinh</t>
  </si>
  <si>
    <t xml:space="preserve">Hybrid</t>
  </si>
  <si>
    <t xml:space="preserve">Phí gói xưởng + quota + overage</t>
  </si>
  <si>
    <t xml:space="preserve">PHÙ HỢP NHẤT</t>
  </si>
  <si>
    <t xml:space="preserve">Cần giải thích rõ phí nền</t>
  </si>
  <si>
    <t xml:space="preserve">CHỌN</t>
  </si>
  <si>
    <t xml:space="preserve">Phí nền đổi lấy KB, workflow, dashboard, hosting/SLA</t>
  </si>
  <si>
    <t xml:space="preserve">DECISION NOTE — 3 CÂU BẢO VỆ</t>
  </si>
  <si>
    <t xml:space="preserve">1. Tôi chọn HYBRID: xưởng trả phí gói tháng có quota booking_confirmed; vượt quota thu theo booking thêm.</t>
  </si>
  <si>
    <t xml:space="preserve">2. Attribution event-level tương đối rõ, nhưng causal uplift chưa có; Agent chưa tự chủ hoàn toàn vì cần xác nhận khách và CVDV.</t>
  </si>
  <si>
    <t xml:space="preserve">3. Phí gói cover hạ tầng/knowledge base/dashboard; usage bảo vệ unit economics và tránh unlimited inference.</t>
  </si>
  <si>
    <t xml:space="preserve">BILLABLE JOB — NGUYÊN TẮC CHỐNG TRANH CHẤP</t>
  </si>
  <si>
    <t xml:space="preserve">Đếm khi nào?</t>
  </si>
  <si>
    <t xml:space="preserve">Sau khi CVDV confirm một booking_request hợp lệ đã được tạo bởi Agent.</t>
  </si>
  <si>
    <t xml:space="preserve">Không đếm khi nào?</t>
  </si>
  <si>
    <t xml:space="preserve">Pending, rejected, expired, failed call, click, view, no booking ID; không tính trùng khi đổi ca.</t>
  </si>
  <si>
    <t xml:space="preserve">Không tính % invoice</t>
  </si>
  <si>
    <t xml:space="preserve">Chi phí sửa chữa phát sinh không do Agent tạo ra; chưa có attribution/hợp đồng thanh toán.</t>
  </si>
  <si>
    <t xml:space="preserve">Giới hạn quota</t>
  </si>
  <si>
    <t xml:space="preserve">190 job/tháng Starter; được overage theo job confirmed; không có unlimited.</t>
  </si>
  <si>
    <t xml:space="preserve">Kiểm soát gian lận</t>
  </si>
  <si>
    <t xml:space="preserve">Dedup booking_id + cycle_id; audit timestamp, referral source, xưởng và vehicle hợp lệ.</t>
  </si>
  <si>
    <t xml:space="preserve">BENCHMARK CHÍNH THỨC (USD CHỈ Ở NGUỒN, VND TRONG MODEL)</t>
  </si>
  <si>
    <t xml:space="preserve">Fin AI Agent / outcome</t>
  </si>
  <si>
    <t xml:space="preserve">USD / đơn vị</t>
  </si>
  <si>
    <t xml:space="preserve">Benchmark về cách đo usage/outcome, không phải giá ngành gara</t>
  </si>
  <si>
    <t xml:space="preserve">https://fin.ai/pricing</t>
  </si>
  <si>
    <t xml:space="preserve">Agentforce / action</t>
  </si>
  <si>
    <t xml:space="preserve">https://www.salesforce.com/agentforce/pricing/</t>
  </si>
  <si>
    <t xml:space="preserve">Fin quy đổi VND/outcome</t>
  </si>
  <si>
    <t xml:space="preserve">VND / đơn vị</t>
  </si>
  <si>
    <t xml:space="preserve">Chỉ so logic giá, không neo giá xưởng trực tiếp</t>
  </si>
  <si>
    <t xml:space="preserve">Agentforce quy đổi VND/action</t>
  </si>
  <si>
    <t xml:space="preserve">Nếu muốn tính % hóa đơn trong tương lai: cần hợp đồng xác nhận phần doanh thu eligible + counterfactual + hoàn/hủy + kết nối POS/DMS. Không có các bằng chứng này thì chỉ là giả thuyết.</t>
  </si>
  <si>
    <t xml:space="preserve">04 • KÊNH GTM &amp; KHẢ NĂNG CHI TRẢ CAC</t>
  </si>
  <si>
    <t xml:space="preserve">Chọn đúng 1 kênh 90 ngày: Sales-Led / founder-led pilot; các số CAC VN là ASSUMPTION để thử tính, không phải báo giá thị trường</t>
  </si>
  <si>
    <t xml:space="preserve">ARPU → CAC BUDGET → SALES PRODUCTIVITY</t>
  </si>
  <si>
    <t xml:space="preserve">Kênh chọn</t>
  </si>
  <si>
    <t xml:space="preserve">Sales-Led (founder-led pilot)</t>
  </si>
  <si>
    <t xml:space="preserve">1 kênh / 90 ngày</t>
  </si>
  <si>
    <t xml:space="preserve">Không thuê full sales team; đánh giá kênh bằng thử nghiệm</t>
  </si>
  <si>
    <t xml:space="preserve">Khách hàng</t>
  </si>
  <si>
    <t xml:space="preserve">Xưởng dịch vụ EV sản lượng lớn</t>
  </si>
  <si>
    <t xml:space="preserve">SMB / regional</t>
  </si>
  <si>
    <t xml:space="preserve">Buyer: chủ xưởng / ops manager</t>
  </si>
  <si>
    <t xml:space="preserve">ARPU/workshop/tháng</t>
  </si>
  <si>
    <t xml:space="preserve">Giả định mỗi xưởng dùng gói Starter, gồm quota</t>
  </si>
  <si>
    <t xml:space="preserve">GM tiền gói ở volume giả định</t>
  </si>
  <si>
    <t xml:space="preserve">Payback cho phép</t>
  </si>
  <si>
    <t xml:space="preserve">tháng</t>
  </si>
  <si>
    <t xml:space="preserve">SMB 12 tháng là ngưỡng heuristic từ lab; không dùng làm thực chứng VN</t>
  </si>
  <si>
    <t xml:space="preserve">NGÂN SÁCH CAC / KHÁCH</t>
  </si>
  <si>
    <t xml:space="preserve">VND / workshop</t>
  </si>
  <si>
    <t xml:space="preserve">ARPU × GM × payback</t>
  </si>
  <si>
    <t xml:space="preserve">ACV</t>
  </si>
  <si>
    <t xml:space="preserve">VND / năm</t>
  </si>
  <si>
    <t xml:space="preserve">Annual contract value xưởng</t>
  </si>
  <si>
    <t xml:space="preserve">Quota 1 AE / năm</t>
  </si>
  <si>
    <t xml:space="preserve">GIẢ ĐỊNH nội bộ để affordability test VN; chưa tuyển sales</t>
  </si>
  <si>
    <t xml:space="preserve">Số ngày làm việc / năm</t>
  </si>
  <si>
    <t xml:space="preserve">ngày</t>
  </si>
  <si>
    <t xml:space="preserve">GIẢ ĐỊNH 20 ngày làm việc/tháng</t>
  </si>
  <si>
    <t xml:space="preserve">Deal/AE/năm</t>
  </si>
  <si>
    <t xml:space="preserve">deal</t>
  </si>
  <si>
    <t xml:space="preserve">Nếu quy mô hóa Sales-Led qua AE</t>
  </si>
  <si>
    <t xml:space="preserve">Deal/AE/ngày</t>
  </si>
  <si>
    <t xml:space="preserve">deal/ngày</t>
  </si>
  <si>
    <t xml:space="preserve">So với ngưỡng &lt;=1 deal/ngày của lab</t>
  </si>
  <si>
    <t xml:space="preserve">CAC THỰC TẾ: CASE NỘI BỘ VS GLOBAL BENCHMARK</t>
  </si>
  <si>
    <t xml:space="preserve">CPO founder-led VN (giả định)</t>
  </si>
  <si>
    <t xml:space="preserve">VND / opportunity</t>
  </si>
  <si>
    <t xml:space="preserve">Chưa đo: thời gian founder, demo, đi lại, marketing; verify pilot</t>
  </si>
  <si>
    <t xml:space="preserve">Win rate (giả định)</t>
  </si>
  <si>
    <t xml:space="preserve">GIẢ ĐỊNH; phải cập nhật theo opportunities thực tế</t>
  </si>
  <si>
    <t xml:space="preserve">CAC khả thi nếu CPO đúng</t>
  </si>
  <si>
    <t xml:space="preserve">VND / deal</t>
  </si>
  <si>
    <t xml:space="preserve">Chưa tính setup tùy biến/integration</t>
  </si>
  <si>
    <t xml:space="preserve">CAC budget / CAC kịch bản VN</t>
  </si>
  <si>
    <t xml:space="preserve">lần</t>
  </si>
  <si>
    <t xml:space="preserve">&gt;1 mới khả thi nếu win/CPO đạt giả định</t>
  </si>
  <si>
    <t xml:space="preserve">CPO global benchmark (USD)</t>
  </si>
  <si>
    <t xml:space="preserve">USD / opportunity</t>
  </si>
  <si>
    <t xml:space="preserve">Từ tài liệu Day22/ICONIQ; không phải mức thực tế VN</t>
  </si>
  <si>
    <t xml:space="preserve">CAC benchmark global quy đổi</t>
  </si>
  <si>
    <t xml:space="preserve">CPO × FX / win rate; chỉ để minh họa scale motion khó</t>
  </si>
  <si>
    <t xml:space="preserve">CAC global / CAC budget</t>
  </si>
  <si>
    <t xml:space="preserve">Nếu rất cao thì không dùng Sales-Led enterprise scale</t>
  </si>
  <si>
    <t xml:space="preserve">Channel có chịu được không?</t>
  </si>
  <si>
    <t xml:space="preserve">CPO/win rate VN chưa có dữ liệu nên không tuyên bố đã chứng minh</t>
  </si>
  <si>
    <t xml:space="preserve">SCORECARD 6 TIÊU CHÍ × 3 KÊNH (1 THẤP → 5 CAO)</t>
  </si>
  <si>
    <t xml:space="preserve">Tiêu chí</t>
  </si>
  <si>
    <t xml:space="preserve">PLG</t>
  </si>
  <si>
    <t xml:space="preserve">Sales-Led</t>
  </si>
  <si>
    <t xml:space="preserve">Partner-Led</t>
  </si>
  <si>
    <t xml:space="preserve">Khách tự cấu hình được</t>
  </si>
  <si>
    <t xml:space="preserve">Phù hợp buyer và ticket</t>
  </si>
  <si>
    <t xml:space="preserve">Có thể gặp khách 30 ngày đầu</t>
  </si>
  <si>
    <t xml:space="preserve">Chi phí ban đầu thấp</t>
  </si>
  <si>
    <t xml:space="preserve">Dễ lấy evidence/pilot</t>
  </si>
  <si>
    <t xml:space="preserve">Không phụ thuộc bên thứ ba</t>
  </si>
  <si>
    <t xml:space="preserve">TỔNG ĐIỂM</t>
  </si>
  <si>
    <t xml:space="preserve">PAIN MOMENT → BỀ MẶT TÍCH HỢP CỤ THỂ</t>
  </si>
  <si>
    <t xml:space="preserve">Khung giờ</t>
  </si>
  <si>
    <t xml:space="preserve">08:15 đầu ca sáng — giả định làm việc của xưởng, cần phỏng vấn xác minh</t>
  </si>
  <si>
    <t xml:space="preserve">Đang làm gì</t>
  </si>
  <si>
    <t xml:space="preserve">CVDV mở Zalo OA/inbox và sổ lịch hẹn, tư vấn giá, xem ca trống để trả lời chủ xe</t>
  </si>
  <si>
    <t xml:space="preserve">Đang ở đâu / app nào</t>
  </si>
  <si>
    <t xml:space="preserve">Zalo OA / inbox xưởng + dashboard đặt lịch hiện có</t>
  </si>
  <si>
    <t xml:space="preserve">Điểm nhúng cho pilot</t>
  </si>
  <si>
    <t xml:space="preserve">Link đặt lịch/mini-flow từ Zalo OA đã có quyền vận hành; backup web mock + email</t>
  </si>
  <si>
    <t xml:space="preserve">Đầu tư sau pilot</t>
  </si>
  <si>
    <t xml:space="preserve">API/webhook tích hợp hệ thống hãng/xưởng, phụ thuộc phê duyệt đối tác</t>
  </si>
  <si>
    <t xml:space="preserve">Buyer pay trigger</t>
  </si>
  <si>
    <t xml:space="preserve">Booking confirmed + tải ca/nhân sự/booking tăng; KHÔNG dùng số lượt notification</t>
  </si>
  <si>
    <t xml:space="preserve">KẾT LUẬN: Founder-led sales hợp lý để học trong 90 ngày. Với CPO benchmark global, CAC scale Sales-Led không khả thi ở ARPU này — cần kiểm nghiệm CAC nội địa hoặc chuyển Partner-Led sau pilot. Chưa có partner nào đã liên hệ.</t>
  </si>
  <si>
    <t xml:space="preserve">05 • 90 NGÀY, EVIDENCE &amp; PROCUREMENT</t>
  </si>
  <si>
    <t xml:space="preserve">Kế hoạch đề xuất bắt đầu 08/10/2026 · Các KPI là mục tiêu thử nghiệm, KHÔNG phải kết quả đã đạt được</t>
  </si>
  <si>
    <t xml:space="preserve">90-DAY PLAN — HỌC TRƯỚC, MỞ RỘNG SAU</t>
  </si>
  <si>
    <t xml:space="preserve">Giai đoạn</t>
  </si>
  <si>
    <t xml:space="preserve">Ngày thực hiện</t>
  </si>
  <si>
    <t xml:space="preserve">Owner chính</t>
  </si>
  <si>
    <t xml:space="preserve">Đầu ra phải có</t>
  </si>
  <si>
    <t xml:space="preserve">Mục tiêu có số</t>
  </si>
  <si>
    <t xml:space="preserve">Trạng thái 08/10</t>
  </si>
  <si>
    <t xml:space="preserve">Ngày 01–30 • Discovery</t>
  </si>
  <si>
    <t xml:space="preserve">08/10–06/11/2026</t>
  </si>
  <si>
    <t xml:space="preserve">Nguyễn Long Khánh / Product</t>
  </si>
  <si>
    <t xml:space="preserve">Buyer interview, WTP, baseline thủ công, job rules</t>
  </si>
  <si>
    <t xml:space="preserve">8 chủ xe + 4 CVDV; 50 golden cases; 3 cuộc trao đổi WTP</t>
  </si>
  <si>
    <t xml:space="preserve">CHƯA THỰC HIỆN</t>
  </si>
  <si>
    <t xml:space="preserve">Ngày 31–60 • Pilot</t>
  </si>
  <si>
    <t xml:space="preserve">07/11–06/12/2026</t>
  </si>
  <si>
    <t xml:space="preserve">DEV Data/Eval + Backend + Product</t>
  </si>
  <si>
    <t xml:space="preserve">Pilot 1 xưởng, trace, đo cost/job &amp; errors</t>
  </si>
  <si>
    <t xml:space="preserve">1 xưởng; 80–120 xe; ≥100 eligible cases</t>
  </si>
  <si>
    <t xml:space="preserve">Ngày 61–90 • Verify</t>
  </si>
  <si>
    <t xml:space="preserve">07/12/2026–05/01/2027</t>
  </si>
  <si>
    <t xml:space="preserve">Nguyễn Long Khánh / Product + Team</t>
  </si>
  <si>
    <t xml:space="preserve">Báo cáo economics, chốt gói, chỉ mở rộng nếu đủ evidence</t>
  </si>
  <si>
    <t xml:space="preserve">2 xưởng đánh giá; 200 cases; ≥1 đề xuất thương mại</t>
  </si>
  <si>
    <t xml:space="preserve">KPI GATE / CÁCH XÁC MINH — KHÔNG GHI SỐ KẾT QUẢ KHI CHƯA ĐO</t>
  </si>
  <si>
    <t xml:space="preserve">Gate / Chỉ số</t>
  </si>
  <si>
    <t xml:space="preserve">Ngưỡng giả định để thử</t>
  </si>
  <si>
    <t xml:space="preserve">Cách đo / chứng cứ</t>
  </si>
  <si>
    <t xml:space="preserve">Trách nhiệm</t>
  </si>
  <si>
    <t xml:space="preserve">Job completion</t>
  </si>
  <si>
    <t xml:space="preserve">≥ 70% sau advisor confirmation</t>
  </si>
  <si>
    <t xml:space="preserve">unique booking_confirmed / eligible cases; có trace</t>
  </si>
  <si>
    <t xml:space="preserve">Data/Eval</t>
  </si>
  <si>
    <t xml:space="preserve">Agent auto-to-request</t>
  </si>
  <si>
    <t xml:space="preserve">≥ 78% mục tiêu nội bộ</t>
  </si>
  <si>
    <t xml:space="preserve">booking_request_created / attempted; tách exception</t>
  </si>
  <si>
    <t xml:space="preserve">Agent/Eval</t>
  </si>
  <si>
    <t xml:space="preserve">Chất lượng Rule Engine</t>
  </si>
  <si>
    <t xml:space="preserve">100% trong golden set bắt buộc</t>
  </si>
  <si>
    <t xml:space="preserve">service item/priority vs golden contract</t>
  </si>
  <si>
    <t xml:space="preserve">RAG groundedness</t>
  </si>
  <si>
    <t xml:space="preserve">Không bịa thông tin bảo hành</t>
  </si>
  <si>
    <t xml:space="preserve">citation support + failure cases</t>
  </si>
  <si>
    <t xml:space="preserve">Advisor reject/reschedule</t>
  </si>
  <si>
    <t xml:space="preserve">Thu thập baseline; chưa chốt threshold</t>
  </si>
  <si>
    <t xml:space="preserve">booking_confirmed/rejected/rescheduled từ dashboard</t>
  </si>
  <si>
    <t xml:space="preserve">Backend/Workshop</t>
  </si>
  <si>
    <t xml:space="preserve">Causal booking uplift</t>
  </si>
  <si>
    <t xml:space="preserve">Chưa có số — CẦN pilot comparator</t>
  </si>
  <si>
    <t xml:space="preserve">Nhóm matched/control hoặc before-after có adjustment</t>
  </si>
  <si>
    <t xml:space="preserve">Product</t>
  </si>
  <si>
    <t xml:space="preserve">Unit GM</t>
  </si>
  <si>
    <t xml:space="preserve">≥ 60% ở giá đề xuất</t>
  </si>
  <si>
    <t xml:space="preserve">COGS từ API logs/invoice/QA / revenue</t>
  </si>
  <si>
    <t xml:space="preserve">Product/Finance</t>
  </si>
  <si>
    <t xml:space="preserve">AI minimum completion</t>
  </si>
  <si>
    <t xml:space="preserve">So eval với Tab 2 B50</t>
  </si>
  <si>
    <t xml:space="preserve">stress test booking + escalation</t>
  </si>
  <si>
    <t xml:space="preserve">EVIDENCE PACK — 3 TÀI SẢN PHẢI CÓ</t>
  </si>
  <si>
    <t xml:space="preserve">Tài sản</t>
  </si>
  <si>
    <t xml:space="preserve">Hiện đã có</t>
  </si>
  <si>
    <t xml:space="preserve">Còn thiếu</t>
  </si>
  <si>
    <t xml:space="preserve">Owner</t>
  </si>
  <si>
    <t xml:space="preserve">Deadline</t>
  </si>
  <si>
    <t xml:space="preserve">Bằng chứng tối thiểu</t>
  </si>
  <si>
    <t xml:space="preserve">Eval Results</t>
  </si>
  <si>
    <t xml:space="preserve">Thiết kế metric &amp; dataset sơ bộ</t>
  </si>
  <si>
    <t xml:space="preserve">Golden set, tool trace, cost/job thật</t>
  </si>
  <si>
    <t xml:space="preserve">DEV Data/Eval</t>
  </si>
  <si>
    <t xml:space="preserve">06/11/2026</t>
  </si>
  <si>
    <t xml:space="preserve">recommendation, grounding, booking, containment, error cases</t>
  </si>
  <si>
    <t xml:space="preserve">Procurement Q&amp;A</t>
  </si>
  <si>
    <t xml:space="preserve">Kiến trúc Rule/RAG/Price/HITL</t>
  </si>
  <si>
    <t xml:space="preserve">Policy privacy, provider data policy, export/SLA</t>
  </si>
  <si>
    <t xml:space="preserve">DEV Backend + Product</t>
  </si>
  <si>
    <t xml:space="preserve">20/11/2026</t>
  </si>
  <si>
    <t xml:space="preserve">Không bịa bảo hành; dữ liệu có train không; vendor exit plan</t>
  </si>
  <si>
    <t xml:space="preserve">Pilot Report</t>
  </si>
  <si>
    <t xml:space="preserve">Chưa có pilot thực tế</t>
  </si>
  <si>
    <t xml:space="preserve">1 pilot xưởng + counterfactual + WTP</t>
  </si>
  <si>
    <t xml:space="preserve">Nguyễn Long Khánh + Team</t>
  </si>
  <si>
    <t xml:space="preserve">05/01/2027</t>
  </si>
  <si>
    <t xml:space="preserve">eligible, successful, cost/job, GM, advisor errors, uplift/limits</t>
  </si>
  <si>
    <t xml:space="preserve">PROCUREMENT Q&amp;A — BẢN NHÁP TRẢ LỜI CÓ TRÁCH NHIỆM</t>
  </si>
  <si>
    <t xml:space="preserve">AI bịa maintenance/price?</t>
  </si>
  <si>
    <t xml:space="preserve">Rule Engine deterministic cho WHAT/WHEN; DB giá; RAG chỉ giải thích; log &amp; escalation; Evals chưa có số.</t>
  </si>
  <si>
    <t xml:space="preserve">Data có dùng train model không?</t>
  </si>
  <si>
    <t xml:space="preserve">Chưa khẳng định: cần chọn provider, paid API policy, DPA, data retention trước khi ký hợp đồng.</t>
  </si>
  <si>
    <t xml:space="preserve">Vendor ngừng hoạt động?</t>
  </si>
  <si>
    <t xml:space="preserve">Đề xuất CSV/JSON export cho Booking/Vehicle/Rules, tài liệu schema, đầu nối API và quy trình xóa dữ liệu; chưa triển khai.</t>
  </si>
  <si>
    <t xml:space="preserve">Dữ liệu xe/chủ xe?</t>
  </si>
  <si>
    <t xml:space="preserve">RBAC customer/advisor/admin; minimize PII; vị trí chỉ tính khoảng cách, tránh lưu lịch sử GPS; cần security test.</t>
  </si>
  <si>
    <t xml:space="preserve">RỦI RO &amp; HÀNH ĐỘNG</t>
  </si>
  <si>
    <t xml:space="preserve">R1 — Attribution yếu</t>
  </si>
  <si>
    <t xml:space="preserve">Nếu 24 booking tăng thêm là ảo → value ceiling giảm; thiết kế cohort/control trước pricing.</t>
  </si>
  <si>
    <t xml:space="preserve">R2 — CAC khó chịu được</t>
  </si>
  <si>
    <t xml:space="preserve">CPO Việt Nam chưa đo; founder-led ưu tiên học; scale khi CAC budget thực tế cho phép.</t>
  </si>
  <si>
    <t xml:space="preserve">R3 — Low-volume workshop</t>
  </si>
  <si>
    <t xml:space="preserve">Gói 4,69 triệu đòi hỏi đủ volume/value; nếu xưởng ít booking cần tier khác hoặc từ chối phân khúc.</t>
  </si>
  <si>
    <t xml:space="preserve">R4 — Không có nguồn ODO thật</t>
  </si>
  <si>
    <t xml:space="preserve">MVP mock/nhập ODO có validation; không pitch real-time telemetry nếu chưa tích hợp.</t>
  </si>
  <si>
    <t xml:space="preserve">R5 — Chi phí freemium không thuộc tenant</t>
  </si>
  <si>
    <t xml:space="preserve">Nếu AI miễn phí cho mọi xe trước khi bán vào xưởng, track non-paying traffic và phân bổ vào CAC/COGS.</t>
  </si>
  <si>
    <t xml:space="preserve">Bộ đồ nghề để khách tin: Eval Results + Procurement Q&amp;A + Pilot Report. Trạng thái hiện nay là đang chuẩn bị, không mô tả các số giả định như pilot đã thành công.</t>
  </si>
  <si>
    <t xml:space="preserve">06 • GIÁ &amp; NGUỒN ĐỐI CHIẾU</t>
  </si>
  <si>
    <t xml:space="preserve">Nguồn kiểm tra ngày 08/10/2026 · Các ô vàng là số nghiên cứu hoặc tỷ giá cập nhật · Tất cả phép tính đầu ra bằng VND</t>
  </si>
  <si>
    <t xml:space="preserve">API &amp; TỶ GIÁ — NGUỒN CHÍNH THỨC</t>
  </si>
  <si>
    <t xml:space="preserve">Gemini 2.5 Flash — input</t>
  </si>
  <si>
    <t xml:space="preserve">USD / 1 triệu tokens</t>
  </si>
  <si>
    <t xml:space="preserve">Standard · text; verified 08/10/2026</t>
  </si>
  <si>
    <t xml:space="preserve">https://ai.google.dev/gemini-api/docs/pricing</t>
  </si>
  <si>
    <t xml:space="preserve">Gemini 2.5 Flash — cached input</t>
  </si>
  <si>
    <t xml:space="preserve">Context cached reads, có storage charge riêng nếu cache lưu</t>
  </si>
  <si>
    <t xml:space="preserve">Gemini 2.5 Flash — output</t>
  </si>
  <si>
    <t xml:space="preserve">Bao gồm thinking tokens; standard text</t>
  </si>
  <si>
    <t xml:space="preserve">Gemini 3.7 Flash — promo input</t>
  </si>
  <si>
    <t xml:space="preserve">Ưu đãi đến 31/12/2026 · CHỈ THAM KHẢO</t>
  </si>
  <si>
    <t xml:space="preserve">Gemini 3.7 Flash — promo output</t>
  </si>
  <si>
    <t xml:space="preserve">Gemini 3.7 Flash — list input</t>
  </si>
  <si>
    <t xml:space="preserve">Giá từ 01/01/2027 · scenario reference</t>
  </si>
  <si>
    <t xml:space="preserve">Gemini 3.7 Flash — list output</t>
  </si>
  <si>
    <t xml:space="preserve">USD/VND — giá bán chuyển khoản NCB</t>
  </si>
  <si>
    <t xml:space="preserve">08/10/2026; để thận trọng khi tính chi phí mua USD</t>
  </si>
  <si>
    <t xml:space="preserve">https://www.ncb-bank.vn/vi/ty-gia-tien-te</t>
  </si>
  <si>
    <t xml:space="preserve">BENCHMARK ĐƠN VỊ ĐỊNH GIÁ — KHÔNG PHẢI GIÁ CỦA VFO2O</t>
  </si>
  <si>
    <t xml:space="preserve">Fin AI Agent — 1 outcome</t>
  </si>
  <si>
    <t xml:space="preserve">USD / outcome</t>
  </si>
  <si>
    <t xml:space="preserve">Tính theo outcome, có mức tối thiểu/tháng</t>
  </si>
  <si>
    <t xml:space="preserve">Salesforce Agentforce — 1 action</t>
  </si>
  <si>
    <t xml:space="preserve">USD / action</t>
  </si>
  <si>
    <t xml:space="preserve">20 Flex Credits/action; 500 USD/100k credits</t>
  </si>
  <si>
    <t xml:space="preserve">ICONIQ (lab) — CPO tham chiếu thấp</t>
  </si>
  <si>
    <t xml:space="preserve">Benchmark GTM trong tài liệu Day 22 (không phải CAC tại VN)</t>
  </si>
  <si>
    <t xml:space="preserve">https://www.iconiq.com/</t>
  </si>
  <si>
    <t xml:space="preserve">Payback SMB — benchmark hướng dẫn</t>
  </si>
  <si>
    <t xml:space="preserve">Tối đa được dùng để tính CAC budget, phải kiểm tra cohort thực</t>
  </si>
  <si>
    <t xml:space="preserve">https://www.bvp.com/atlas/state-of-the-cloud-2024</t>
  </si>
  <si>
    <t xml:space="preserve">Mục tiêu GM an toàn của bài lab</t>
  </si>
  <si>
    <t xml:space="preserve">Quy tắc đánh giá của brief Day 22, không phải định luật thị trường</t>
  </si>
  <si>
    <t xml:space="preserve">Tài liệu Lab Day 22 (đề bài)</t>
  </si>
  <si>
    <t xml:space="preserve">PHÂN LOẠI ĐỘ TIN CẬY</t>
  </si>
  <si>
    <t xml:space="preserve">ĐÃ KIỂM NGÀY 08/10/2026</t>
  </si>
  <si>
    <t xml:space="preserve">Giá API, thông số SaaS đối chiếu, tỷ giá NCB</t>
  </si>
  <si>
    <t xml:space="preserve">TỪ TÀI LIỆU KHÓA HỌC</t>
  </si>
  <si>
    <t xml:space="preserve">Ngưỡng GM, 3× Cost, khung CAC payback và CPO</t>
  </si>
  <si>
    <t xml:space="preserve">GIẢ ĐỊNH LAB — KHÔNG CÓ PILOT</t>
  </si>
  <si>
    <t xml:space="preserve">Khối lượng case, autonomy, booking được xác nhận, QA, nhân công, uplift, mô hình giá</t>
  </si>
  <si>
    <t xml:space="preserve">Mọi giá bán, chi phí, CAC đầu ra dùng đồng Việt Nam; tỷ giá chỉ làm input chuyển đổi</t>
  </si>
  <si>
    <t xml:space="preserve">CẢNH BÁO: Chưa chứng minh được uplift booking, giá trị tạo ra và containment. Không dùng giả định bài lab để tuyên bố hiệu quả kinh doanh đã đo.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</si>
</sst>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[RED]\(#,##0\);\–"/>
    <numFmt numFmtId="166" formatCode="#,##0&quot; ₫&quot;;[RED]\(#,##0&quot; ₫)&quot;;\–"/>
    <numFmt numFmtId="167" formatCode="0.0%;[RED]\(0.0%\);\–"/>
    <numFmt numFmtId="168" formatCode="0.000"/>
    <numFmt numFmtId="169" formatCode="General"/>
    <numFmt numFmtId="170" formatCode="0.00;[RED]\(0.00\);\–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Aptos"/>
      <family val="0"/>
      <charset val="1"/>
    </font>
    <font>
      <sz val="10"/>
      <color rgb="FF5C6C7C"/>
      <name val="Aptos"/>
      <family val="0"/>
      <charset val="1"/>
    </font>
    <font>
      <sz val="10"/>
      <color rgb="FF18283B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rgb="FF008000"/>
      <name val="Aptos"/>
      <family val="0"/>
      <charset val="1"/>
    </font>
    <font>
      <i val="true"/>
      <sz val="9"/>
      <color rgb="FF5C6C7C"/>
      <name val="Aptos"/>
      <family val="0"/>
      <charset val="1"/>
    </font>
    <font>
      <b val="true"/>
      <sz val="10"/>
      <color rgb="FF18283B"/>
      <name val="Aptos"/>
      <family val="0"/>
      <charset val="1"/>
    </font>
    <font>
      <b val="true"/>
      <sz val="10"/>
      <color rgb="FFFFFFFF"/>
      <name val="Apto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1930"/>
        <bgColor rgb="FF18283B"/>
      </patternFill>
    </fill>
    <fill>
      <patternFill patternType="solid">
        <fgColor rgb="FFE5F5F3"/>
        <bgColor rgb="FFDEF5E8"/>
      </patternFill>
    </fill>
    <fill>
      <patternFill patternType="solid">
        <fgColor rgb="FF142B49"/>
        <bgColor rgb="FF18283B"/>
      </patternFill>
    </fill>
    <fill>
      <patternFill patternType="solid">
        <fgColor rgb="FFFFF0AD"/>
        <bgColor rgb="FFDEF5E8"/>
      </patternFill>
    </fill>
    <fill>
      <patternFill patternType="solid">
        <fgColor rgb="FFF3F7FB"/>
        <bgColor rgb="FFE5F5F3"/>
      </patternFill>
    </fill>
    <fill>
      <patternFill patternType="solid">
        <fgColor rgb="FFDEF5E8"/>
        <bgColor rgb="FFE5F5F3"/>
      </patternFill>
    </fill>
    <fill>
      <patternFill patternType="solid">
        <fgColor rgb="FF007F79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6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2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2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F79"/>
      <rgbColor rgb="FFC0C0C0"/>
      <rgbColor rgb="FF808080"/>
      <rgbColor rgb="FF9999FF"/>
      <rgbColor rgb="FF993366"/>
      <rgbColor rgb="FFF3F7FB"/>
      <rgbColor rgb="FFDEF5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F5F3"/>
      <rgbColor rgb="FFCCFFCC"/>
      <rgbColor rgb="FFFFF0A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C7C"/>
      <rgbColor rgb="FF969696"/>
      <rgbColor rgb="FF142B49"/>
      <rgbColor rgb="FF339966"/>
      <rgbColor rgb="FF0B1930"/>
      <rgbColor rgb="FF333300"/>
      <rgbColor rgb="FF993300"/>
      <rgbColor rgb="FF993366"/>
      <rgbColor rgb="FF333399"/>
      <rgbColor rgb="FF1828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7"/>
    <col collapsed="false" customWidth="true" hidden="false" outlineLevel="0" max="5" min="5" style="0" width="20"/>
    <col collapsed="false" customWidth="true" hidden="false" outlineLevel="0" max="6" min="6" style="0" width="31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2.5" hidden="false" customHeight="true" outlineLevel="0" collapsed="false">
      <c r="A2" s="1"/>
      <c r="B2" s="1"/>
      <c r="C2" s="1"/>
      <c r="D2" s="1"/>
      <c r="E2" s="1"/>
      <c r="F2" s="1"/>
    </row>
    <row r="3" customFormat="false" ht="28.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21.75" hidden="false" customHeight="true" outlineLevel="0" collapsed="false">
      <c r="A4" s="3"/>
      <c r="B4" s="4"/>
      <c r="C4" s="5"/>
      <c r="D4" s="3"/>
      <c r="E4" s="5"/>
      <c r="F4" s="3"/>
    </row>
    <row r="5" customFormat="false" ht="24.75" hidden="false" customHeight="true" outlineLevel="0" collapsed="false">
      <c r="A5" s="6" t="s">
        <v>2</v>
      </c>
      <c r="B5" s="6"/>
      <c r="C5" s="6"/>
      <c r="D5" s="6"/>
      <c r="E5" s="6"/>
      <c r="F5" s="6"/>
    </row>
    <row r="6" customFormat="false" ht="21.75" hidden="false" customHeight="true" outlineLevel="0" collapsed="false">
      <c r="A6" s="3" t="s">
        <v>3</v>
      </c>
      <c r="B6" s="7" t="s">
        <v>4</v>
      </c>
      <c r="C6" s="5" t="s">
        <v>5</v>
      </c>
      <c r="D6" s="3" t="s">
        <v>6</v>
      </c>
      <c r="E6" s="5"/>
      <c r="F6" s="3"/>
    </row>
    <row r="7" customFormat="false" ht="21.75" hidden="false" customHeight="true" outlineLevel="0" collapsed="false">
      <c r="A7" s="3" t="s">
        <v>7</v>
      </c>
      <c r="B7" s="7" t="s">
        <v>8</v>
      </c>
      <c r="C7" s="5" t="s">
        <v>9</v>
      </c>
      <c r="D7" s="3" t="s">
        <v>10</v>
      </c>
      <c r="E7" s="5"/>
      <c r="F7" s="3"/>
    </row>
    <row r="8" customFormat="false" ht="21.75" hidden="false" customHeight="true" outlineLevel="0" collapsed="false">
      <c r="A8" s="3" t="s">
        <v>11</v>
      </c>
      <c r="B8" s="7" t="s">
        <v>12</v>
      </c>
      <c r="C8" s="5" t="s">
        <v>13</v>
      </c>
      <c r="D8" s="3" t="s">
        <v>14</v>
      </c>
      <c r="E8" s="5"/>
      <c r="F8" s="3"/>
    </row>
    <row r="9" customFormat="false" ht="21.75" hidden="false" customHeight="true" outlineLevel="0" collapsed="false">
      <c r="A9" s="3" t="s">
        <v>15</v>
      </c>
      <c r="B9" s="7" t="s">
        <v>16</v>
      </c>
      <c r="C9" s="5" t="s">
        <v>17</v>
      </c>
      <c r="D9" s="3" t="s">
        <v>18</v>
      </c>
      <c r="E9" s="5"/>
      <c r="F9" s="3"/>
    </row>
    <row r="10" customFormat="false" ht="21.75" hidden="false" customHeight="true" outlineLevel="0" collapsed="false">
      <c r="A10" s="3"/>
      <c r="B10" s="4"/>
      <c r="C10" s="5"/>
      <c r="D10" s="3"/>
      <c r="E10" s="5"/>
      <c r="F10" s="3"/>
    </row>
    <row r="11" customFormat="false" ht="24.75" hidden="false" customHeight="true" outlineLevel="0" collapsed="false">
      <c r="A11" s="6" t="s">
        <v>19</v>
      </c>
      <c r="B11" s="6"/>
      <c r="C11" s="6"/>
      <c r="D11" s="6"/>
      <c r="E11" s="6"/>
      <c r="F11" s="6"/>
    </row>
    <row r="12" customFormat="false" ht="25.5" hidden="false" customHeight="true" outlineLevel="0" collapsed="false">
      <c r="A12" s="3" t="s">
        <v>20</v>
      </c>
      <c r="B12" s="8" t="n">
        <f aca="false">1_Cost_Job!B16</f>
        <v>1076</v>
      </c>
      <c r="C12" s="5" t="s">
        <v>21</v>
      </c>
      <c r="D12" s="3" t="s">
        <v>22</v>
      </c>
      <c r="E12" s="5"/>
      <c r="F12" s="3"/>
    </row>
    <row r="13" customFormat="false" ht="25.5" hidden="false" customHeight="true" outlineLevel="0" collapsed="false">
      <c r="A13" s="3" t="s">
        <v>23</v>
      </c>
      <c r="B13" s="9" t="n">
        <f aca="false">1_Cost_Job!B64</f>
        <v>7998.30023234201</v>
      </c>
      <c r="C13" s="5" t="s">
        <v>24</v>
      </c>
      <c r="D13" s="3" t="s">
        <v>25</v>
      </c>
      <c r="E13" s="5"/>
      <c r="F13" s="3"/>
    </row>
    <row r="14" customFormat="false" ht="25.5" hidden="false" customHeight="true" outlineLevel="0" collapsed="false">
      <c r="A14" s="3" t="s">
        <v>26</v>
      </c>
      <c r="B14" s="9" t="n">
        <f aca="false">2_Pricing!B21</f>
        <v>23994.900697026</v>
      </c>
      <c r="C14" s="5" t="s">
        <v>24</v>
      </c>
      <c r="D14" s="3" t="s">
        <v>27</v>
      </c>
      <c r="E14" s="5"/>
      <c r="F14" s="3"/>
    </row>
    <row r="15" customFormat="false" ht="25.5" hidden="false" customHeight="true" outlineLevel="0" collapsed="false">
      <c r="A15" s="3" t="s">
        <v>28</v>
      </c>
      <c r="B15" s="9" t="n">
        <f aca="false">2_Pricing!B7</f>
        <v>4690000</v>
      </c>
      <c r="C15" s="5" t="s">
        <v>29</v>
      </c>
      <c r="D15" s="3" t="s">
        <v>30</v>
      </c>
      <c r="E15" s="5"/>
      <c r="F15" s="3"/>
    </row>
    <row r="16" customFormat="false" ht="25.5" hidden="false" customHeight="true" outlineLevel="0" collapsed="false">
      <c r="A16" s="3" t="s">
        <v>31</v>
      </c>
      <c r="B16" s="9" t="n">
        <f aca="false">2_Pricing!B39</f>
        <v>5046666.66666667</v>
      </c>
      <c r="C16" s="5" t="s">
        <v>29</v>
      </c>
      <c r="D16" s="3" t="s">
        <v>32</v>
      </c>
      <c r="E16" s="5"/>
      <c r="F16" s="3"/>
    </row>
    <row r="17" customFormat="false" ht="25.5" hidden="false" customHeight="true" outlineLevel="0" collapsed="false">
      <c r="A17" s="3" t="s">
        <v>33</v>
      </c>
      <c r="B17" s="10" t="n">
        <f aca="false">2_Pricing!B19</f>
        <v>0.69416591862118</v>
      </c>
      <c r="C17" s="5" t="s">
        <v>34</v>
      </c>
      <c r="D17" s="3" t="s">
        <v>35</v>
      </c>
      <c r="E17" s="5"/>
      <c r="F17" s="3"/>
    </row>
    <row r="18" customFormat="false" ht="25.5" hidden="false" customHeight="true" outlineLevel="0" collapsed="false">
      <c r="A18" s="3" t="s">
        <v>36</v>
      </c>
      <c r="B18" s="10" t="n">
        <f aca="false">2_Pricing!B50</f>
        <v>0.674971907902112</v>
      </c>
      <c r="C18" s="5" t="s">
        <v>34</v>
      </c>
      <c r="D18" s="3" t="s">
        <v>37</v>
      </c>
      <c r="E18" s="5"/>
      <c r="F18" s="3"/>
    </row>
    <row r="19" customFormat="false" ht="25.5" hidden="false" customHeight="true" outlineLevel="0" collapsed="false">
      <c r="A19" s="3" t="s">
        <v>38</v>
      </c>
      <c r="B19" s="10" t="n">
        <f aca="false">1_Cost_Job!B14</f>
        <v>0.78</v>
      </c>
      <c r="C19" s="5" t="s">
        <v>34</v>
      </c>
      <c r="D19" s="3" t="s">
        <v>39</v>
      </c>
      <c r="E19" s="5"/>
      <c r="F19" s="3"/>
    </row>
    <row r="20" customFormat="false" ht="25.5" hidden="false" customHeight="true" outlineLevel="0" collapsed="false">
      <c r="A20" s="3" t="s">
        <v>40</v>
      </c>
      <c r="B20" s="9" t="n">
        <f aca="false">4_Channel_Fit!B10</f>
        <v>39067657.9</v>
      </c>
      <c r="C20" s="5" t="s">
        <v>41</v>
      </c>
      <c r="D20" s="3" t="s">
        <v>42</v>
      </c>
      <c r="E20" s="5"/>
      <c r="F20" s="3"/>
    </row>
    <row r="21" customFormat="false" ht="25.5" hidden="false" customHeight="true" outlineLevel="0" collapsed="false">
      <c r="A21" s="3" t="s">
        <v>43</v>
      </c>
      <c r="B21" s="11" t="str">
        <f aca="false">4_Channel_Fit!B5</f>
        <v>Sales-Led (founder-led pilot)</v>
      </c>
      <c r="C21" s="5" t="s">
        <v>44</v>
      </c>
      <c r="D21" s="3" t="s">
        <v>45</v>
      </c>
      <c r="E21" s="5"/>
      <c r="F21" s="3"/>
    </row>
    <row r="22" customFormat="false" ht="25.5" hidden="false" customHeight="true" outlineLevel="0" collapsed="false">
      <c r="A22" s="3" t="s">
        <v>46</v>
      </c>
      <c r="B22" s="11" t="str">
        <f aca="false">2_Pricing!B41</f>
        <v>TẠM ĐẠT (GIẢ ĐỊNH)</v>
      </c>
      <c r="C22" s="5" t="s">
        <v>47</v>
      </c>
      <c r="D22" s="3" t="s">
        <v>48</v>
      </c>
      <c r="E22" s="5"/>
      <c r="F22" s="3"/>
    </row>
    <row r="23" customFormat="false" ht="21.75" hidden="false" customHeight="true" outlineLevel="0" collapsed="false">
      <c r="A23" s="3"/>
      <c r="B23" s="4"/>
      <c r="C23" s="5"/>
      <c r="D23" s="3"/>
      <c r="E23" s="5"/>
      <c r="F23" s="3"/>
    </row>
    <row r="24" customFormat="false" ht="24.75" hidden="false" customHeight="true" outlineLevel="0" collapsed="false">
      <c r="A24" s="6" t="s">
        <v>49</v>
      </c>
      <c r="B24" s="6"/>
      <c r="C24" s="6"/>
      <c r="D24" s="6"/>
      <c r="E24" s="6"/>
      <c r="F24" s="6"/>
    </row>
    <row r="25" customFormat="false" ht="21.75" hidden="false" customHeight="true" outlineLevel="0" collapsed="false">
      <c r="A25" s="3" t="s">
        <v>50</v>
      </c>
      <c r="B25" s="4" t="s">
        <v>51</v>
      </c>
      <c r="C25" s="4"/>
      <c r="D25" s="4"/>
      <c r="E25" s="4"/>
      <c r="F25" s="4"/>
    </row>
    <row r="26" customFormat="false" ht="21.75" hidden="false" customHeight="true" outlineLevel="0" collapsed="false">
      <c r="A26" s="3" t="s">
        <v>52</v>
      </c>
      <c r="B26" s="4" t="s">
        <v>53</v>
      </c>
      <c r="C26" s="4"/>
      <c r="D26" s="4"/>
      <c r="E26" s="4"/>
      <c r="F26" s="4"/>
    </row>
    <row r="27" customFormat="false" ht="21.75" hidden="false" customHeight="true" outlineLevel="0" collapsed="false">
      <c r="A27" s="3" t="s">
        <v>54</v>
      </c>
      <c r="B27" s="4" t="s">
        <v>55</v>
      </c>
      <c r="C27" s="4"/>
      <c r="D27" s="4"/>
      <c r="E27" s="4"/>
      <c r="F27" s="4"/>
    </row>
    <row r="28" customFormat="false" ht="21.75" hidden="false" customHeight="true" outlineLevel="0" collapsed="false">
      <c r="A28" s="3" t="s">
        <v>56</v>
      </c>
      <c r="B28" s="4" t="s">
        <v>57</v>
      </c>
      <c r="C28" s="4"/>
      <c r="D28" s="4"/>
      <c r="E28" s="4"/>
      <c r="F28" s="4"/>
    </row>
    <row r="29" customFormat="false" ht="21.75" hidden="false" customHeight="true" outlineLevel="0" collapsed="false">
      <c r="A29" s="3" t="s">
        <v>58</v>
      </c>
      <c r="B29" s="4" t="s">
        <v>59</v>
      </c>
      <c r="C29" s="4"/>
      <c r="D29" s="4"/>
      <c r="E29" s="4"/>
      <c r="F29" s="4"/>
    </row>
    <row r="30" customFormat="false" ht="21.75" hidden="false" customHeight="true" outlineLevel="0" collapsed="false">
      <c r="A30" s="3" t="s">
        <v>60</v>
      </c>
      <c r="B30" s="4" t="s">
        <v>61</v>
      </c>
      <c r="C30" s="4"/>
      <c r="D30" s="4"/>
      <c r="E30" s="4"/>
      <c r="F30" s="4"/>
    </row>
    <row r="31" customFormat="false" ht="21.75" hidden="false" customHeight="true" outlineLevel="0" collapsed="false">
      <c r="A31" s="3" t="s">
        <v>62</v>
      </c>
      <c r="B31" s="4" t="s">
        <v>63</v>
      </c>
      <c r="C31" s="4"/>
      <c r="D31" s="4"/>
      <c r="E31" s="4"/>
      <c r="F31" s="4"/>
    </row>
    <row r="32" customFormat="false" ht="21.75" hidden="false" customHeight="true" outlineLevel="0" collapsed="false">
      <c r="A32" s="3" t="s">
        <v>64</v>
      </c>
      <c r="B32" s="4" t="s">
        <v>65</v>
      </c>
      <c r="C32" s="4"/>
      <c r="D32" s="4"/>
      <c r="E32" s="4"/>
      <c r="F32" s="4"/>
    </row>
    <row r="33" customFormat="false" ht="21.75" hidden="false" customHeight="true" outlineLevel="0" collapsed="false">
      <c r="A33" s="3"/>
      <c r="B33" s="4"/>
      <c r="C33" s="5"/>
      <c r="D33" s="3"/>
      <c r="E33" s="5"/>
      <c r="F33" s="3"/>
    </row>
    <row r="34" customFormat="false" ht="21.75" hidden="false" customHeight="true" outlineLevel="0" collapsed="false">
      <c r="A34" s="3"/>
      <c r="B34" s="4"/>
      <c r="C34" s="5"/>
      <c r="D34" s="3"/>
      <c r="E34" s="5"/>
      <c r="F34" s="3"/>
    </row>
    <row r="35" customFormat="false" ht="24.75" hidden="false" customHeight="true" outlineLevel="0" collapsed="false">
      <c r="A35" s="6" t="s">
        <v>66</v>
      </c>
      <c r="B35" s="6"/>
      <c r="C35" s="6"/>
      <c r="D35" s="6"/>
      <c r="E35" s="6"/>
      <c r="F35" s="6"/>
    </row>
    <row r="36" customFormat="false" ht="21.75" hidden="false" customHeight="true" outlineLevel="0" collapsed="false">
      <c r="A36" s="3" t="s">
        <v>67</v>
      </c>
      <c r="B36" s="4" t="s">
        <v>68</v>
      </c>
      <c r="C36" s="4"/>
      <c r="D36" s="4"/>
      <c r="E36" s="4"/>
      <c r="F36" s="4"/>
    </row>
    <row r="37" customFormat="false" ht="21.75" hidden="false" customHeight="true" outlineLevel="0" collapsed="false">
      <c r="A37" s="3" t="s">
        <v>69</v>
      </c>
      <c r="B37" s="4" t="s">
        <v>70</v>
      </c>
      <c r="C37" s="4"/>
      <c r="D37" s="4"/>
      <c r="E37" s="4"/>
      <c r="F37" s="4"/>
    </row>
    <row r="38" customFormat="false" ht="21.75" hidden="false" customHeight="true" outlineLevel="0" collapsed="false">
      <c r="A38" s="3" t="s">
        <v>71</v>
      </c>
      <c r="B38" s="4" t="s">
        <v>72</v>
      </c>
      <c r="C38" s="4"/>
      <c r="D38" s="4"/>
      <c r="E38" s="4"/>
      <c r="F38" s="4"/>
    </row>
    <row r="39" customFormat="false" ht="21.75" hidden="false" customHeight="true" outlineLevel="0" collapsed="false">
      <c r="A39" s="3" t="s">
        <v>73</v>
      </c>
      <c r="B39" s="4" t="s">
        <v>74</v>
      </c>
      <c r="C39" s="4"/>
      <c r="D39" s="4"/>
      <c r="E39" s="4"/>
      <c r="F39" s="4"/>
    </row>
    <row r="40" customFormat="false" ht="21.75" hidden="false" customHeight="true" outlineLevel="0" collapsed="false">
      <c r="A40" s="3" t="s">
        <v>75</v>
      </c>
      <c r="B40" s="4" t="s">
        <v>76</v>
      </c>
      <c r="C40" s="4"/>
      <c r="D40" s="4"/>
      <c r="E40" s="4"/>
      <c r="F40" s="4"/>
    </row>
    <row r="41" customFormat="false" ht="21.75" hidden="false" customHeight="true" outlineLevel="0" collapsed="false">
      <c r="A41" s="3" t="s">
        <v>77</v>
      </c>
      <c r="B41" s="4" t="s">
        <v>78</v>
      </c>
      <c r="C41" s="4"/>
      <c r="D41" s="4"/>
      <c r="E41" s="4"/>
      <c r="F41" s="4"/>
    </row>
    <row r="42" customFormat="false" ht="21.75" hidden="false" customHeight="true" outlineLevel="0" collapsed="false">
      <c r="A42" s="3" t="s">
        <v>79</v>
      </c>
      <c r="B42" s="4" t="s">
        <v>80</v>
      </c>
      <c r="C42" s="4"/>
      <c r="D42" s="4"/>
      <c r="E42" s="4"/>
      <c r="F42" s="4"/>
    </row>
    <row r="43" customFormat="false" ht="21.75" hidden="false" customHeight="true" outlineLevel="0" collapsed="false">
      <c r="A43" s="3"/>
      <c r="B43" s="4"/>
      <c r="C43" s="5"/>
      <c r="D43" s="3"/>
      <c r="E43" s="5"/>
      <c r="F43" s="3"/>
    </row>
    <row r="44" customFormat="false" ht="21.75" hidden="false" customHeight="true" outlineLevel="0" collapsed="false">
      <c r="A44" s="3"/>
      <c r="B44" s="4"/>
      <c r="C44" s="5"/>
      <c r="D44" s="3"/>
      <c r="E44" s="5"/>
      <c r="F44" s="3"/>
    </row>
    <row r="45" customFormat="false" ht="24.75" hidden="false" customHeight="true" outlineLevel="0" collapsed="false">
      <c r="A45" s="6" t="s">
        <v>81</v>
      </c>
      <c r="B45" s="6"/>
      <c r="C45" s="6"/>
      <c r="D45" s="6"/>
      <c r="E45" s="6"/>
      <c r="F45" s="6"/>
    </row>
    <row r="46" customFormat="false" ht="21.75" hidden="false" customHeight="true" outlineLevel="0" collapsed="false">
      <c r="A46" s="12" t="s">
        <v>82</v>
      </c>
      <c r="B46" s="4" t="s">
        <v>83</v>
      </c>
      <c r="C46" s="5"/>
      <c r="D46" s="3"/>
      <c r="E46" s="5"/>
      <c r="F46" s="3"/>
    </row>
    <row r="47" customFormat="false" ht="21.75" hidden="false" customHeight="true" outlineLevel="0" collapsed="false">
      <c r="A47" s="13" t="s">
        <v>84</v>
      </c>
      <c r="B47" s="4" t="s">
        <v>85</v>
      </c>
      <c r="C47" s="5"/>
      <c r="D47" s="3"/>
      <c r="E47" s="5"/>
      <c r="F47" s="3"/>
    </row>
    <row r="48" customFormat="false" ht="21.75" hidden="false" customHeight="true" outlineLevel="0" collapsed="false">
      <c r="A48" s="14" t="s">
        <v>86</v>
      </c>
      <c r="B48" s="4" t="s">
        <v>87</v>
      </c>
      <c r="C48" s="5"/>
      <c r="D48" s="3"/>
      <c r="E48" s="5"/>
      <c r="F48" s="3"/>
    </row>
    <row r="49" customFormat="false" ht="21.75" hidden="false" customHeight="true" outlineLevel="0" collapsed="false">
      <c r="A49" s="15" t="s">
        <v>88</v>
      </c>
      <c r="B49" s="4" t="s">
        <v>89</v>
      </c>
      <c r="C49" s="5"/>
      <c r="D49" s="3"/>
      <c r="E49" s="5"/>
      <c r="F49" s="3"/>
    </row>
    <row r="50" customFormat="false" ht="21.75" hidden="false" customHeight="true" outlineLevel="0" collapsed="false">
      <c r="A50" s="3"/>
      <c r="B50" s="4"/>
      <c r="C50" s="5"/>
      <c r="D50" s="3"/>
      <c r="E50" s="5"/>
      <c r="F50" s="3"/>
    </row>
    <row r="51" customFormat="false" ht="21.75" hidden="false" customHeight="true" outlineLevel="0" collapsed="false">
      <c r="A51" s="3"/>
      <c r="B51" s="4"/>
      <c r="C51" s="5"/>
      <c r="D51" s="3"/>
      <c r="E51" s="5"/>
      <c r="F51" s="3"/>
    </row>
    <row r="52" customFormat="false" ht="27.75" hidden="false" customHeight="true" outlineLevel="0" collapsed="false">
      <c r="A52" s="16" t="s">
        <v>90</v>
      </c>
      <c r="B52" s="16"/>
      <c r="C52" s="16"/>
      <c r="D52" s="16"/>
      <c r="E52" s="16"/>
      <c r="F52" s="16"/>
    </row>
    <row r="53" customFormat="false" ht="21.75" hidden="false" customHeight="true" outlineLevel="0" collapsed="false">
      <c r="A53" s="3"/>
      <c r="B53" s="4"/>
      <c r="C53" s="5"/>
      <c r="D53" s="3"/>
      <c r="E53" s="5"/>
      <c r="F53" s="3"/>
    </row>
    <row r="54" customFormat="false" ht="21.75" hidden="false" customHeight="true" outlineLevel="0" collapsed="false">
      <c r="A54" s="3"/>
      <c r="B54" s="4"/>
      <c r="C54" s="5"/>
      <c r="D54" s="3"/>
      <c r="E54" s="5"/>
      <c r="F54" s="3"/>
    </row>
    <row r="55" customFormat="false" ht="21.75" hidden="false" customHeight="true" outlineLevel="0" collapsed="false">
      <c r="A55" s="3"/>
      <c r="B55" s="4"/>
      <c r="C55" s="5"/>
      <c r="D55" s="3"/>
      <c r="E55" s="5"/>
      <c r="F55" s="3"/>
    </row>
    <row r="56" customFormat="false" ht="21.75" hidden="false" customHeight="true" outlineLevel="0" collapsed="false">
      <c r="A56" s="3"/>
      <c r="B56" s="4"/>
      <c r="C56" s="5"/>
      <c r="D56" s="3"/>
      <c r="E56" s="5"/>
      <c r="F56" s="3"/>
    </row>
    <row r="57" customFormat="false" ht="21.75" hidden="false" customHeight="true" outlineLevel="0" collapsed="false">
      <c r="A57" s="3"/>
      <c r="B57" s="4"/>
      <c r="C57" s="5"/>
      <c r="D57" s="3"/>
      <c r="E57" s="5"/>
      <c r="F57" s="3"/>
    </row>
    <row r="58" customFormat="false" ht="21.75" hidden="false" customHeight="true" outlineLevel="0" collapsed="false">
      <c r="A58" s="3"/>
      <c r="B58" s="4"/>
      <c r="C58" s="5"/>
      <c r="D58" s="3"/>
      <c r="E58" s="5"/>
      <c r="F58" s="3"/>
    </row>
    <row r="59" customFormat="false" ht="21.75" hidden="false" customHeight="true" outlineLevel="0" collapsed="false">
      <c r="A59" s="3"/>
      <c r="B59" s="4"/>
      <c r="C59" s="5"/>
      <c r="D59" s="3"/>
      <c r="E59" s="5"/>
      <c r="F59" s="3"/>
    </row>
    <row r="60" customFormat="false" ht="21.75" hidden="false" customHeight="true" outlineLevel="0" collapsed="false">
      <c r="A60" s="3"/>
      <c r="B60" s="4"/>
      <c r="C60" s="5"/>
      <c r="D60" s="3"/>
      <c r="E60" s="5"/>
      <c r="F60" s="3"/>
    </row>
    <row r="61" customFormat="false" ht="21.75" hidden="false" customHeight="true" outlineLevel="0" collapsed="false">
      <c r="A61" s="3"/>
      <c r="B61" s="4"/>
      <c r="C61" s="5"/>
      <c r="D61" s="3"/>
      <c r="E61" s="5"/>
      <c r="F61" s="3"/>
    </row>
    <row r="62" customFormat="false" ht="21.75" hidden="false" customHeight="true" outlineLevel="0" collapsed="false">
      <c r="A62" s="3"/>
      <c r="B62" s="4"/>
      <c r="C62" s="5"/>
      <c r="D62" s="3"/>
      <c r="E62" s="5"/>
      <c r="F62" s="3"/>
    </row>
    <row r="63" customFormat="false" ht="21.75" hidden="false" customHeight="true" outlineLevel="0" collapsed="false">
      <c r="A63" s="3"/>
      <c r="B63" s="4"/>
      <c r="C63" s="5"/>
      <c r="D63" s="3"/>
      <c r="E63" s="5"/>
      <c r="F63" s="3"/>
    </row>
    <row r="64" customFormat="false" ht="21.75" hidden="false" customHeight="true" outlineLevel="0" collapsed="false">
      <c r="A64" s="3"/>
      <c r="B64" s="4"/>
      <c r="C64" s="5"/>
      <c r="D64" s="3"/>
      <c r="E64" s="5"/>
      <c r="F64" s="3"/>
    </row>
    <row r="65" customFormat="false" ht="21.75" hidden="false" customHeight="true" outlineLevel="0" collapsed="false">
      <c r="A65" s="3"/>
      <c r="B65" s="4"/>
      <c r="C65" s="5"/>
      <c r="D65" s="3"/>
      <c r="E65" s="5"/>
      <c r="F65" s="3"/>
    </row>
    <row r="66" customFormat="false" ht="21.75" hidden="false" customHeight="true" outlineLevel="0" collapsed="false">
      <c r="A66" s="3"/>
      <c r="B66" s="4"/>
      <c r="C66" s="5"/>
      <c r="D66" s="3"/>
      <c r="E66" s="5"/>
      <c r="F66" s="3"/>
    </row>
    <row r="67" customFormat="false" ht="21.75" hidden="false" customHeight="true" outlineLevel="0" collapsed="false">
      <c r="A67" s="3"/>
      <c r="B67" s="4"/>
      <c r="C67" s="5"/>
      <c r="D67" s="3"/>
      <c r="E67" s="5"/>
      <c r="F67" s="3"/>
    </row>
    <row r="68" customFormat="false" ht="21.75" hidden="false" customHeight="true" outlineLevel="0" collapsed="false">
      <c r="A68" s="3"/>
      <c r="B68" s="4"/>
      <c r="C68" s="5"/>
      <c r="D68" s="3"/>
      <c r="E68" s="5"/>
      <c r="F68" s="3"/>
    </row>
    <row r="69" customFormat="false" ht="21.75" hidden="false" customHeight="true" outlineLevel="0" collapsed="false">
      <c r="A69" s="3"/>
      <c r="B69" s="4"/>
      <c r="C69" s="5"/>
      <c r="D69" s="3"/>
      <c r="E69" s="5"/>
      <c r="F69" s="3"/>
    </row>
    <row r="70" customFormat="false" ht="21.75" hidden="false" customHeight="true" outlineLevel="0" collapsed="false">
      <c r="A70" s="3"/>
      <c r="B70" s="4"/>
      <c r="C70" s="5"/>
      <c r="D70" s="3"/>
      <c r="E70" s="5"/>
      <c r="F70" s="3"/>
    </row>
    <row r="71" customFormat="false" ht="21.75" hidden="false" customHeight="true" outlineLevel="0" collapsed="false">
      <c r="A71" s="3"/>
      <c r="B71" s="4"/>
      <c r="C71" s="5"/>
      <c r="D71" s="3"/>
      <c r="E71" s="5"/>
      <c r="F71" s="3"/>
    </row>
    <row r="72" customFormat="false" ht="21.75" hidden="false" customHeight="true" outlineLevel="0" collapsed="false">
      <c r="A72" s="3"/>
      <c r="B72" s="4"/>
      <c r="C72" s="5"/>
      <c r="D72" s="3"/>
      <c r="E72" s="5"/>
      <c r="F72" s="3"/>
    </row>
    <row r="73" customFormat="false" ht="21.75" hidden="false" customHeight="true" outlineLevel="0" collapsed="false">
      <c r="A73" s="3"/>
      <c r="B73" s="4"/>
      <c r="C73" s="5"/>
      <c r="D73" s="3"/>
      <c r="E73" s="5"/>
      <c r="F73" s="3"/>
    </row>
    <row r="74" customFormat="false" ht="21.75" hidden="false" customHeight="true" outlineLevel="0" collapsed="false">
      <c r="A74" s="3"/>
      <c r="B74" s="4"/>
      <c r="C74" s="5"/>
      <c r="D74" s="3"/>
      <c r="E74" s="5"/>
      <c r="F74" s="3"/>
    </row>
    <row r="75" customFormat="false" ht="21.75" hidden="false" customHeight="true" outlineLevel="0" collapsed="false">
      <c r="A75" s="3"/>
      <c r="B75" s="4"/>
      <c r="C75" s="5"/>
      <c r="D75" s="3"/>
      <c r="E75" s="5"/>
      <c r="F75" s="3"/>
    </row>
    <row r="76" customFormat="false" ht="21.75" hidden="false" customHeight="true" outlineLevel="0" collapsed="false">
      <c r="A76" s="3"/>
      <c r="B76" s="4"/>
      <c r="C76" s="5"/>
      <c r="D76" s="3"/>
      <c r="E76" s="5"/>
      <c r="F76" s="3"/>
    </row>
    <row r="77" customFormat="false" ht="21.75" hidden="false" customHeight="true" outlineLevel="0" collapsed="false">
      <c r="A77" s="3"/>
      <c r="B77" s="4"/>
      <c r="C77" s="5"/>
      <c r="D77" s="3"/>
      <c r="E77" s="5"/>
      <c r="F77" s="3"/>
    </row>
    <row r="78" customFormat="false" ht="21.75" hidden="false" customHeight="true" outlineLevel="0" collapsed="false">
      <c r="A78" s="3"/>
      <c r="B78" s="4"/>
      <c r="C78" s="5"/>
      <c r="D78" s="3"/>
      <c r="E78" s="5"/>
      <c r="F78" s="3"/>
    </row>
    <row r="79" customFormat="false" ht="21.75" hidden="false" customHeight="true" outlineLevel="0" collapsed="false">
      <c r="A79" s="3"/>
      <c r="B79" s="4"/>
      <c r="C79" s="5"/>
      <c r="D79" s="3"/>
      <c r="E79" s="5"/>
      <c r="F79" s="3"/>
    </row>
    <row r="80" customFormat="false" ht="21.75" hidden="false" customHeight="true" outlineLevel="0" collapsed="false">
      <c r="A80" s="3"/>
      <c r="B80" s="4"/>
      <c r="C80" s="5"/>
      <c r="D80" s="3"/>
      <c r="E80" s="5"/>
      <c r="F80" s="3"/>
    </row>
    <row r="81" customFormat="false" ht="21.75" hidden="false" customHeight="true" outlineLevel="0" collapsed="false">
      <c r="A81" s="5"/>
      <c r="B81" s="5"/>
      <c r="C81" s="5"/>
      <c r="D81" s="5"/>
      <c r="E81" s="5"/>
      <c r="F81" s="5"/>
    </row>
    <row r="82" customFormat="false" ht="21.75" hidden="false" customHeight="true" outlineLevel="0" collapsed="false">
      <c r="A82" s="5"/>
      <c r="B82" s="5"/>
      <c r="C82" s="5"/>
      <c r="D82" s="5"/>
      <c r="E82" s="5"/>
      <c r="F82" s="5"/>
    </row>
    <row r="83" customFormat="false" ht="21.75" hidden="false" customHeight="true" outlineLevel="0" collapsed="false">
      <c r="A83" s="5"/>
      <c r="B83" s="5"/>
      <c r="C83" s="5"/>
      <c r="D83" s="5"/>
      <c r="E83" s="5"/>
      <c r="F83" s="5"/>
    </row>
    <row r="84" customFormat="false" ht="21.75" hidden="false" customHeight="true" outlineLevel="0" collapsed="false">
      <c r="A84" s="5"/>
      <c r="B84" s="5"/>
      <c r="C84" s="5"/>
      <c r="D84" s="5"/>
      <c r="E84" s="5"/>
      <c r="F84" s="5"/>
    </row>
    <row r="85" customFormat="false" ht="21.75" hidden="false" customHeight="true" outlineLevel="0" collapsed="false">
      <c r="A85" s="5"/>
      <c r="B85" s="5"/>
      <c r="C85" s="5"/>
      <c r="D85" s="5"/>
      <c r="E85" s="5"/>
      <c r="F85" s="5"/>
    </row>
  </sheetData>
  <mergeCells count="23">
    <mergeCell ref="A1:F2"/>
    <mergeCell ref="A3:F3"/>
    <mergeCell ref="A5:F5"/>
    <mergeCell ref="A11:F11"/>
    <mergeCell ref="A24:F24"/>
    <mergeCell ref="B25:F25"/>
    <mergeCell ref="B26:F26"/>
    <mergeCell ref="B27:F27"/>
    <mergeCell ref="B28:F28"/>
    <mergeCell ref="B29:F29"/>
    <mergeCell ref="B30:F30"/>
    <mergeCell ref="B31:F31"/>
    <mergeCell ref="B32:F32"/>
    <mergeCell ref="A35:F35"/>
    <mergeCell ref="B36:F36"/>
    <mergeCell ref="B37:F37"/>
    <mergeCell ref="B38:F38"/>
    <mergeCell ref="B39:F39"/>
    <mergeCell ref="B40:F40"/>
    <mergeCell ref="B41:F41"/>
    <mergeCell ref="B42:F42"/>
    <mergeCell ref="A45:F45"/>
    <mergeCell ref="A52:F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7"/>
    <col collapsed="false" customWidth="true" hidden="false" outlineLevel="0" max="5" min="5" style="0" width="20"/>
    <col collapsed="false" customWidth="true" hidden="false" outlineLevel="0" max="6" min="6" style="0" width="31"/>
  </cols>
  <sheetData>
    <row r="1" customFormat="false" ht="22.5" hidden="false" customHeight="true" outlineLevel="0" collapsed="false">
      <c r="A1" s="1" t="s">
        <v>91</v>
      </c>
      <c r="B1" s="1"/>
      <c r="C1" s="1"/>
      <c r="D1" s="1"/>
      <c r="E1" s="1"/>
      <c r="F1" s="1"/>
    </row>
    <row r="2" customFormat="false" ht="22.5" hidden="false" customHeight="true" outlineLevel="0" collapsed="false">
      <c r="A2" s="1"/>
      <c r="B2" s="1"/>
      <c r="C2" s="1"/>
      <c r="D2" s="1"/>
      <c r="E2" s="1"/>
      <c r="F2" s="1"/>
    </row>
    <row r="3" customFormat="false" ht="28.5" hidden="false" customHeight="true" outlineLevel="0" collapsed="false">
      <c r="A3" s="2" t="s">
        <v>92</v>
      </c>
      <c r="B3" s="2"/>
      <c r="C3" s="2"/>
      <c r="D3" s="2"/>
      <c r="E3" s="2"/>
      <c r="F3" s="2"/>
    </row>
    <row r="4" customFormat="false" ht="24.75" hidden="false" customHeight="true" outlineLevel="0" collapsed="false">
      <c r="A4" s="6" t="s">
        <v>93</v>
      </c>
      <c r="B4" s="6"/>
      <c r="C4" s="6"/>
      <c r="D4" s="6"/>
      <c r="E4" s="6"/>
      <c r="F4" s="6"/>
    </row>
    <row r="5" customFormat="false" ht="21.75" hidden="false" customHeight="true" outlineLevel="0" collapsed="false">
      <c r="A5" s="3" t="s">
        <v>94</v>
      </c>
      <c r="B5" s="7" t="s">
        <v>95</v>
      </c>
      <c r="C5" s="5" t="s">
        <v>96</v>
      </c>
      <c r="D5" s="3" t="s">
        <v>97</v>
      </c>
      <c r="E5" s="5"/>
      <c r="F5" s="3"/>
    </row>
    <row r="6" customFormat="false" ht="21.75" hidden="false" customHeight="true" outlineLevel="0" collapsed="false">
      <c r="A6" s="3" t="s">
        <v>98</v>
      </c>
      <c r="B6" s="7" t="s">
        <v>13</v>
      </c>
      <c r="C6" s="5" t="s">
        <v>99</v>
      </c>
      <c r="D6" s="3" t="s">
        <v>100</v>
      </c>
      <c r="E6" s="5"/>
      <c r="F6" s="3"/>
    </row>
    <row r="7" customFormat="false" ht="21.75" hidden="false" customHeight="true" outlineLevel="0" collapsed="false">
      <c r="A7" s="3" t="s">
        <v>101</v>
      </c>
      <c r="B7" s="7" t="s">
        <v>102</v>
      </c>
      <c r="C7" s="5" t="s">
        <v>103</v>
      </c>
      <c r="D7" s="3" t="s">
        <v>104</v>
      </c>
      <c r="E7" s="5"/>
      <c r="F7" s="3"/>
    </row>
    <row r="8" customFormat="false" ht="21.75" hidden="false" customHeight="true" outlineLevel="0" collapsed="false">
      <c r="A8" s="3" t="s">
        <v>105</v>
      </c>
      <c r="B8" s="7" t="s">
        <v>106</v>
      </c>
      <c r="C8" s="5" t="s">
        <v>5</v>
      </c>
      <c r="D8" s="3" t="s">
        <v>107</v>
      </c>
      <c r="E8" s="5"/>
      <c r="F8" s="3"/>
    </row>
    <row r="9" customFormat="false" ht="21.75" hidden="false" customHeight="true" outlineLevel="0" collapsed="false">
      <c r="A9" s="3" t="s">
        <v>108</v>
      </c>
      <c r="B9" s="7" t="s">
        <v>109</v>
      </c>
      <c r="C9" s="5" t="s">
        <v>110</v>
      </c>
      <c r="D9" s="3" t="s">
        <v>111</v>
      </c>
      <c r="E9" s="5"/>
      <c r="F9" s="3"/>
    </row>
    <row r="10" customFormat="false" ht="21.75" hidden="false" customHeight="true" outlineLevel="0" collapsed="false">
      <c r="A10" s="3"/>
      <c r="B10" s="4"/>
      <c r="C10" s="5"/>
      <c r="D10" s="3"/>
      <c r="E10" s="5"/>
      <c r="F10" s="3"/>
    </row>
    <row r="11" customFormat="false" ht="24.75" hidden="false" customHeight="true" outlineLevel="0" collapsed="false">
      <c r="A11" s="6" t="s">
        <v>112</v>
      </c>
      <c r="B11" s="6"/>
      <c r="C11" s="6"/>
      <c r="D11" s="6"/>
      <c r="E11" s="6"/>
      <c r="F11" s="6"/>
    </row>
    <row r="12" customFormat="false" ht="21.75" hidden="false" customHeight="true" outlineLevel="0" collapsed="false">
      <c r="A12" s="3" t="s">
        <v>113</v>
      </c>
      <c r="B12" s="7" t="n">
        <v>1500</v>
      </c>
      <c r="C12" s="5" t="s">
        <v>114</v>
      </c>
      <c r="D12" s="3" t="s">
        <v>115</v>
      </c>
      <c r="E12" s="5"/>
      <c r="F12" s="3"/>
    </row>
    <row r="13" customFormat="false" ht="21.75" hidden="false" customHeight="true" outlineLevel="0" collapsed="false">
      <c r="A13" s="3" t="s">
        <v>116</v>
      </c>
      <c r="B13" s="7" t="n">
        <v>6</v>
      </c>
      <c r="C13" s="5" t="s">
        <v>117</v>
      </c>
      <c r="D13" s="3" t="s">
        <v>118</v>
      </c>
      <c r="E13" s="5"/>
      <c r="F13" s="3"/>
    </row>
    <row r="14" customFormat="false" ht="21.75" hidden="false" customHeight="true" outlineLevel="0" collapsed="false">
      <c r="A14" s="3" t="s">
        <v>119</v>
      </c>
      <c r="B14" s="17" t="n">
        <v>0.78</v>
      </c>
      <c r="C14" s="5" t="s">
        <v>120</v>
      </c>
      <c r="D14" s="3" t="s">
        <v>121</v>
      </c>
      <c r="E14" s="5"/>
      <c r="F14" s="3"/>
    </row>
    <row r="15" customFormat="false" ht="21.75" hidden="false" customHeight="true" outlineLevel="0" collapsed="false">
      <c r="A15" s="3" t="s">
        <v>122</v>
      </c>
      <c r="B15" s="17" t="n">
        <v>0.92</v>
      </c>
      <c r="C15" s="5" t="s">
        <v>123</v>
      </c>
      <c r="D15" s="3" t="s">
        <v>124</v>
      </c>
      <c r="E15" s="5"/>
      <c r="F15" s="3"/>
    </row>
    <row r="16" customFormat="false" ht="21.75" hidden="false" customHeight="true" outlineLevel="0" collapsed="false">
      <c r="A16" s="3" t="s">
        <v>125</v>
      </c>
      <c r="B16" s="18" t="n">
        <f aca="false">ROUND(B12*B14*B15,0)</f>
        <v>1076</v>
      </c>
      <c r="C16" s="5" t="s">
        <v>126</v>
      </c>
      <c r="D16" s="3" t="s">
        <v>127</v>
      </c>
      <c r="E16" s="5"/>
      <c r="F16" s="3"/>
    </row>
    <row r="17" customFormat="false" ht="21.75" hidden="false" customHeight="true" outlineLevel="0" collapsed="false">
      <c r="A17" s="3" t="s">
        <v>128</v>
      </c>
      <c r="B17" s="18" t="n">
        <f aca="false">B12/B13</f>
        <v>250</v>
      </c>
      <c r="C17" s="5" t="s">
        <v>129</v>
      </c>
      <c r="D17" s="3" t="s">
        <v>130</v>
      </c>
      <c r="E17" s="5"/>
      <c r="F17" s="3"/>
    </row>
    <row r="18" customFormat="false" ht="21.75" hidden="false" customHeight="true" outlineLevel="0" collapsed="false">
      <c r="A18" s="3" t="s">
        <v>131</v>
      </c>
      <c r="B18" s="18" t="n">
        <f aca="false">B16/B13</f>
        <v>179.333333333333</v>
      </c>
      <c r="C18" s="5" t="s">
        <v>132</v>
      </c>
      <c r="D18" s="3" t="s">
        <v>133</v>
      </c>
      <c r="E18" s="5"/>
      <c r="F18" s="3"/>
    </row>
    <row r="19" customFormat="false" ht="21.75" hidden="false" customHeight="true" outlineLevel="0" collapsed="false">
      <c r="A19" s="3" t="s">
        <v>134</v>
      </c>
      <c r="B19" s="17" t="n">
        <v>0.3</v>
      </c>
      <c r="C19" s="5" t="s">
        <v>135</v>
      </c>
      <c r="D19" s="3" t="s">
        <v>136</v>
      </c>
      <c r="E19" s="5"/>
      <c r="F19" s="3"/>
    </row>
    <row r="20" customFormat="false" ht="21.75" hidden="false" customHeight="true" outlineLevel="0" collapsed="false">
      <c r="A20" s="3"/>
      <c r="B20" s="4"/>
      <c r="C20" s="5"/>
      <c r="D20" s="3"/>
      <c r="E20" s="5"/>
      <c r="F20" s="3"/>
    </row>
    <row r="21" customFormat="false" ht="24.75" hidden="false" customHeight="true" outlineLevel="0" collapsed="false">
      <c r="A21" s="6" t="s">
        <v>137</v>
      </c>
      <c r="B21" s="6"/>
      <c r="C21" s="6"/>
      <c r="D21" s="6"/>
      <c r="E21" s="6"/>
      <c r="F21" s="6"/>
    </row>
    <row r="22" customFormat="false" ht="21.75" hidden="false" customHeight="true" outlineLevel="0" collapsed="false">
      <c r="A22" s="3" t="s">
        <v>138</v>
      </c>
      <c r="B22" s="19" t="n">
        <v>12000</v>
      </c>
      <c r="C22" s="5" t="s">
        <v>139</v>
      </c>
      <c r="D22" s="3" t="s">
        <v>140</v>
      </c>
      <c r="E22" s="5"/>
      <c r="F22" s="3"/>
    </row>
    <row r="23" customFormat="false" ht="21.75" hidden="false" customHeight="true" outlineLevel="0" collapsed="false">
      <c r="A23" s="3" t="s">
        <v>141</v>
      </c>
      <c r="B23" s="19" t="n">
        <v>5000</v>
      </c>
      <c r="C23" s="5" t="s">
        <v>139</v>
      </c>
      <c r="D23" s="3" t="s">
        <v>142</v>
      </c>
      <c r="E23" s="5"/>
      <c r="F23" s="3"/>
    </row>
    <row r="24" customFormat="false" ht="21.75" hidden="false" customHeight="true" outlineLevel="0" collapsed="false">
      <c r="A24" s="3" t="s">
        <v>143</v>
      </c>
      <c r="B24" s="19" t="n">
        <v>2400</v>
      </c>
      <c r="C24" s="5" t="s">
        <v>139</v>
      </c>
      <c r="D24" s="3" t="s">
        <v>144</v>
      </c>
      <c r="E24" s="5"/>
      <c r="F24" s="3"/>
    </row>
    <row r="25" customFormat="false" ht="21.75" hidden="false" customHeight="true" outlineLevel="0" collapsed="false">
      <c r="A25" s="3" t="s">
        <v>145</v>
      </c>
      <c r="B25" s="9" t="n">
        <f aca="false">6_Benchmarks!B12</f>
        <v>26190</v>
      </c>
      <c r="C25" s="5" t="s">
        <v>146</v>
      </c>
      <c r="D25" s="3" t="s">
        <v>147</v>
      </c>
      <c r="E25" s="5"/>
      <c r="F25" s="3"/>
    </row>
    <row r="26" customFormat="false" ht="21.75" hidden="false" customHeight="true" outlineLevel="0" collapsed="false">
      <c r="A26" s="3" t="s">
        <v>148</v>
      </c>
      <c r="B26" s="20" t="n">
        <f aca="false">6_Benchmarks!B5</f>
        <v>0.3</v>
      </c>
      <c r="C26" s="5" t="s">
        <v>149</v>
      </c>
      <c r="D26" s="3" t="s">
        <v>150</v>
      </c>
      <c r="E26" s="5"/>
      <c r="F26" s="3"/>
    </row>
    <row r="27" customFormat="false" ht="21.75" hidden="false" customHeight="true" outlineLevel="0" collapsed="false">
      <c r="A27" s="3" t="s">
        <v>151</v>
      </c>
      <c r="B27" s="20" t="n">
        <f aca="false">6_Benchmarks!B6</f>
        <v>0.03</v>
      </c>
      <c r="C27" s="5" t="s">
        <v>149</v>
      </c>
      <c r="D27" s="3" t="s">
        <v>152</v>
      </c>
      <c r="E27" s="5"/>
      <c r="F27" s="3"/>
    </row>
    <row r="28" customFormat="false" ht="21.75" hidden="false" customHeight="true" outlineLevel="0" collapsed="false">
      <c r="A28" s="3" t="s">
        <v>153</v>
      </c>
      <c r="B28" s="20" t="n">
        <f aca="false">6_Benchmarks!B7</f>
        <v>2.5</v>
      </c>
      <c r="C28" s="5" t="s">
        <v>149</v>
      </c>
      <c r="D28" s="3" t="s">
        <v>154</v>
      </c>
      <c r="E28" s="5"/>
      <c r="F28" s="3"/>
    </row>
    <row r="29" customFormat="false" ht="21.75" hidden="false" customHeight="true" outlineLevel="0" collapsed="false">
      <c r="A29" s="3" t="s">
        <v>155</v>
      </c>
      <c r="B29" s="21" t="n">
        <f aca="false">((B22*B26+B23*B27+B24*B28)/1000000)*B25</f>
        <v>255.3525</v>
      </c>
      <c r="C29" s="5" t="s">
        <v>156</v>
      </c>
      <c r="D29" s="3" t="s">
        <v>157</v>
      </c>
      <c r="E29" s="5"/>
      <c r="F29" s="3"/>
    </row>
    <row r="30" customFormat="false" ht="21.75" hidden="false" customHeight="true" outlineLevel="0" collapsed="false">
      <c r="A30" s="3" t="s">
        <v>158</v>
      </c>
      <c r="B30" s="21" t="n">
        <f aca="false">B29*B12</f>
        <v>383028.75</v>
      </c>
      <c r="C30" s="5" t="s">
        <v>29</v>
      </c>
      <c r="D30" s="3" t="s">
        <v>159</v>
      </c>
      <c r="E30" s="5"/>
      <c r="F30" s="3"/>
    </row>
    <row r="31" customFormat="false" ht="21.75" hidden="false" customHeight="true" outlineLevel="0" collapsed="false">
      <c r="A31" s="3" t="s">
        <v>160</v>
      </c>
      <c r="B31" s="21" t="n">
        <f aca="false">(((B22+B23)*B26+B24*B28)/1000000)*B25</f>
        <v>290.709</v>
      </c>
      <c r="C31" s="5" t="s">
        <v>161</v>
      </c>
      <c r="D31" s="3" t="s">
        <v>162</v>
      </c>
      <c r="E31" s="5"/>
      <c r="F31" s="3"/>
    </row>
    <row r="32" customFormat="false" ht="21.75" hidden="false" customHeight="true" outlineLevel="0" collapsed="false">
      <c r="A32" s="3" t="s">
        <v>163</v>
      </c>
      <c r="B32" s="22" t="n">
        <f aca="false">1-B29/B31</f>
        <v>0.121621621621622</v>
      </c>
      <c r="C32" s="5" t="s">
        <v>34</v>
      </c>
      <c r="D32" s="3" t="s">
        <v>164</v>
      </c>
      <c r="E32" s="5"/>
      <c r="F32" s="3"/>
    </row>
    <row r="33" customFormat="false" ht="21.75" hidden="false" customHeight="true" outlineLevel="0" collapsed="false">
      <c r="A33" s="3"/>
      <c r="B33" s="4"/>
      <c r="C33" s="5"/>
      <c r="D33" s="3"/>
      <c r="E33" s="5"/>
      <c r="F33" s="3"/>
    </row>
    <row r="34" customFormat="false" ht="24.75" hidden="false" customHeight="true" outlineLevel="0" collapsed="false">
      <c r="A34" s="6" t="s">
        <v>165</v>
      </c>
      <c r="B34" s="6"/>
      <c r="C34" s="6"/>
      <c r="D34" s="6"/>
      <c r="E34" s="6"/>
      <c r="F34" s="6"/>
    </row>
    <row r="35" customFormat="false" ht="21.75" hidden="false" customHeight="true" outlineLevel="0" collapsed="false">
      <c r="A35" s="3" t="s">
        <v>166</v>
      </c>
      <c r="B35" s="7" t="s">
        <v>167</v>
      </c>
      <c r="C35" s="5" t="s">
        <v>168</v>
      </c>
      <c r="D35" s="3" t="s">
        <v>169</v>
      </c>
      <c r="E35" s="5"/>
      <c r="F35" s="3"/>
    </row>
    <row r="36" customFormat="false" ht="21.75" hidden="false" customHeight="true" outlineLevel="0" collapsed="false">
      <c r="A36" s="3" t="s">
        <v>170</v>
      </c>
      <c r="B36" s="23" t="n">
        <v>0</v>
      </c>
      <c r="C36" s="5" t="s">
        <v>171</v>
      </c>
      <c r="D36" s="3" t="s">
        <v>172</v>
      </c>
      <c r="E36" s="5"/>
      <c r="F36" s="3"/>
    </row>
    <row r="37" customFormat="false" ht="21.75" hidden="false" customHeight="true" outlineLevel="0" collapsed="false">
      <c r="A37" s="3"/>
      <c r="B37" s="4"/>
      <c r="C37" s="5"/>
      <c r="D37" s="3"/>
      <c r="E37" s="5"/>
      <c r="F37" s="3"/>
    </row>
    <row r="38" customFormat="false" ht="24.75" hidden="false" customHeight="true" outlineLevel="0" collapsed="false">
      <c r="A38" s="6" t="s">
        <v>173</v>
      </c>
      <c r="B38" s="6"/>
      <c r="C38" s="6"/>
      <c r="D38" s="6"/>
      <c r="E38" s="6"/>
      <c r="F38" s="6"/>
    </row>
    <row r="39" customFormat="false" ht="21.75" hidden="false" customHeight="true" outlineLevel="0" collapsed="false">
      <c r="A39" s="3" t="s">
        <v>174</v>
      </c>
      <c r="B39" s="23" t="n">
        <v>2700000</v>
      </c>
      <c r="C39" s="5" t="s">
        <v>29</v>
      </c>
      <c r="D39" s="3" t="s">
        <v>175</v>
      </c>
      <c r="E39" s="5"/>
      <c r="F39" s="3"/>
    </row>
    <row r="40" customFormat="false" ht="21.75" hidden="false" customHeight="true" outlineLevel="0" collapsed="false">
      <c r="A40" s="3" t="s">
        <v>176</v>
      </c>
      <c r="B40" s="23" t="n">
        <v>300000</v>
      </c>
      <c r="C40" s="5" t="s">
        <v>177</v>
      </c>
      <c r="D40" s="3" t="s">
        <v>178</v>
      </c>
      <c r="E40" s="5"/>
      <c r="F40" s="3"/>
    </row>
    <row r="41" customFormat="false" ht="21.75" hidden="false" customHeight="true" outlineLevel="0" collapsed="false">
      <c r="A41" s="3" t="s">
        <v>179</v>
      </c>
      <c r="B41" s="23" t="n">
        <v>900</v>
      </c>
      <c r="C41" s="5" t="s">
        <v>161</v>
      </c>
      <c r="D41" s="3" t="s">
        <v>180</v>
      </c>
      <c r="E41" s="5"/>
      <c r="F41" s="3"/>
    </row>
    <row r="42" customFormat="false" ht="21.75" hidden="false" customHeight="true" outlineLevel="0" collapsed="false">
      <c r="A42" s="3" t="s">
        <v>181</v>
      </c>
      <c r="B42" s="21" t="n">
        <f aca="false">B39+B40*B13+B41*B12</f>
        <v>5850000</v>
      </c>
      <c r="C42" s="5" t="s">
        <v>29</v>
      </c>
      <c r="D42" s="3" t="s">
        <v>182</v>
      </c>
      <c r="E42" s="5"/>
      <c r="F42" s="3"/>
    </row>
    <row r="43" customFormat="false" ht="21.75" hidden="false" customHeight="true" outlineLevel="0" collapsed="false">
      <c r="A43" s="3" t="s">
        <v>183</v>
      </c>
      <c r="B43" s="21" t="n">
        <f aca="false">B42/B12</f>
        <v>3900</v>
      </c>
      <c r="C43" s="5" t="s">
        <v>161</v>
      </c>
      <c r="D43" s="3" t="s">
        <v>184</v>
      </c>
      <c r="E43" s="5"/>
      <c r="F43" s="3"/>
    </row>
    <row r="44" customFormat="false" ht="21.75" hidden="false" customHeight="true" outlineLevel="0" collapsed="false">
      <c r="A44" s="3"/>
      <c r="B44" s="4"/>
      <c r="C44" s="5"/>
      <c r="D44" s="3"/>
      <c r="E44" s="5"/>
      <c r="F44" s="3"/>
    </row>
    <row r="45" customFormat="false" ht="24.75" hidden="false" customHeight="true" outlineLevel="0" collapsed="false">
      <c r="A45" s="6" t="s">
        <v>185</v>
      </c>
      <c r="B45" s="6"/>
      <c r="C45" s="6"/>
      <c r="D45" s="6"/>
      <c r="E45" s="6"/>
      <c r="F45" s="6"/>
    </row>
    <row r="46" customFormat="false" ht="21.75" hidden="false" customHeight="true" outlineLevel="0" collapsed="false">
      <c r="A46" s="3" t="s">
        <v>186</v>
      </c>
      <c r="B46" s="17" t="n">
        <v>0.08</v>
      </c>
      <c r="C46" s="5" t="s">
        <v>120</v>
      </c>
      <c r="D46" s="3" t="s">
        <v>187</v>
      </c>
      <c r="E46" s="5"/>
      <c r="F46" s="3"/>
    </row>
    <row r="47" customFormat="false" ht="21.75" hidden="false" customHeight="true" outlineLevel="0" collapsed="false">
      <c r="A47" s="3" t="s">
        <v>188</v>
      </c>
      <c r="B47" s="21" t="n">
        <f aca="false">B30*B46</f>
        <v>30642.3</v>
      </c>
      <c r="C47" s="5" t="s">
        <v>29</v>
      </c>
      <c r="D47" s="3" t="s">
        <v>189</v>
      </c>
      <c r="E47" s="5"/>
      <c r="F47" s="3"/>
    </row>
    <row r="48" customFormat="false" ht="21.75" hidden="false" customHeight="true" outlineLevel="0" collapsed="false">
      <c r="A48" s="3"/>
      <c r="B48" s="4"/>
      <c r="C48" s="5"/>
      <c r="D48" s="3"/>
      <c r="E48" s="5"/>
      <c r="F48" s="3"/>
    </row>
    <row r="49" customFormat="false" ht="24.75" hidden="false" customHeight="true" outlineLevel="0" collapsed="false">
      <c r="A49" s="6" t="s">
        <v>190</v>
      </c>
      <c r="B49" s="6"/>
      <c r="C49" s="6"/>
      <c r="D49" s="6"/>
      <c r="E49" s="6"/>
      <c r="F49" s="6"/>
    </row>
    <row r="50" customFormat="false" ht="21.75" hidden="false" customHeight="true" outlineLevel="0" collapsed="false">
      <c r="A50" s="3" t="s">
        <v>191</v>
      </c>
      <c r="B50" s="7" t="s">
        <v>192</v>
      </c>
      <c r="C50" s="5" t="s">
        <v>193</v>
      </c>
      <c r="D50" s="3" t="s">
        <v>194</v>
      </c>
      <c r="E50" s="5"/>
      <c r="F50" s="3"/>
    </row>
    <row r="51" customFormat="false" ht="21.75" hidden="false" customHeight="true" outlineLevel="0" collapsed="false">
      <c r="A51" s="3" t="s">
        <v>195</v>
      </c>
      <c r="B51" s="17" t="n">
        <v>0.08</v>
      </c>
      <c r="C51" s="5" t="s">
        <v>196</v>
      </c>
      <c r="D51" s="3" t="s">
        <v>197</v>
      </c>
      <c r="E51" s="5"/>
      <c r="F51" s="3"/>
    </row>
    <row r="52" customFormat="false" ht="21.75" hidden="false" customHeight="true" outlineLevel="0" collapsed="false">
      <c r="A52" s="3" t="s">
        <v>198</v>
      </c>
      <c r="B52" s="7" t="n">
        <v>4</v>
      </c>
      <c r="C52" s="5" t="s">
        <v>199</v>
      </c>
      <c r="D52" s="3" t="s">
        <v>200</v>
      </c>
      <c r="E52" s="5"/>
      <c r="F52" s="3"/>
    </row>
    <row r="53" customFormat="false" ht="21.75" hidden="false" customHeight="true" outlineLevel="0" collapsed="false">
      <c r="A53" s="3" t="s">
        <v>201</v>
      </c>
      <c r="B53" s="23" t="n">
        <v>125000</v>
      </c>
      <c r="C53" s="5" t="s">
        <v>202</v>
      </c>
      <c r="D53" s="3" t="s">
        <v>203</v>
      </c>
      <c r="E53" s="5"/>
      <c r="F53" s="3"/>
    </row>
    <row r="54" customFormat="false" ht="21.75" hidden="false" customHeight="true" outlineLevel="0" collapsed="false">
      <c r="A54" s="3" t="s">
        <v>204</v>
      </c>
      <c r="B54" s="22" t="n">
        <f aca="false">B19</f>
        <v>0.3</v>
      </c>
      <c r="C54" s="5" t="s">
        <v>205</v>
      </c>
      <c r="D54" s="3" t="s">
        <v>206</v>
      </c>
      <c r="E54" s="5"/>
      <c r="F54" s="3"/>
    </row>
    <row r="55" customFormat="false" ht="21.75" hidden="false" customHeight="true" outlineLevel="0" collapsed="false">
      <c r="A55" s="3" t="s">
        <v>207</v>
      </c>
      <c r="B55" s="7" t="n">
        <v>6</v>
      </c>
      <c r="C55" s="5" t="s">
        <v>199</v>
      </c>
      <c r="D55" s="3" t="s">
        <v>208</v>
      </c>
      <c r="E55" s="5"/>
      <c r="F55" s="3"/>
    </row>
    <row r="56" customFormat="false" ht="21.75" hidden="false" customHeight="true" outlineLevel="0" collapsed="false">
      <c r="A56" s="3" t="s">
        <v>209</v>
      </c>
      <c r="B56" s="23" t="n">
        <v>0</v>
      </c>
      <c r="C56" s="5" t="s">
        <v>29</v>
      </c>
      <c r="D56" s="3" t="s">
        <v>210</v>
      </c>
      <c r="E56" s="5"/>
      <c r="F56" s="3"/>
    </row>
    <row r="57" customFormat="false" ht="21.75" hidden="false" customHeight="true" outlineLevel="0" collapsed="false">
      <c r="A57" s="3" t="s">
        <v>211</v>
      </c>
      <c r="B57" s="21" t="n">
        <f aca="false">B12*B51*B52/60*B53</f>
        <v>1000000</v>
      </c>
      <c r="C57" s="5" t="s">
        <v>29</v>
      </c>
      <c r="D57" s="3" t="s">
        <v>212</v>
      </c>
      <c r="E57" s="5"/>
      <c r="F57" s="3"/>
    </row>
    <row r="58" customFormat="false" ht="21.75" hidden="false" customHeight="true" outlineLevel="0" collapsed="false">
      <c r="A58" s="3" t="s">
        <v>213</v>
      </c>
      <c r="B58" s="21" t="n">
        <f aca="false">B12*(1-B14)*B54*B55/60*B53</f>
        <v>1237500</v>
      </c>
      <c r="C58" s="5" t="s">
        <v>29</v>
      </c>
      <c r="D58" s="3" t="s">
        <v>214</v>
      </c>
      <c r="E58" s="5"/>
      <c r="F58" s="3"/>
    </row>
    <row r="59" customFormat="false" ht="21.75" hidden="false" customHeight="true" outlineLevel="0" collapsed="false">
      <c r="A59" s="3" t="s">
        <v>215</v>
      </c>
      <c r="B59" s="21" t="n">
        <f aca="false">SUM(B56:B58)</f>
        <v>2237500</v>
      </c>
      <c r="C59" s="5" t="s">
        <v>29</v>
      </c>
      <c r="D59" s="3" t="s">
        <v>216</v>
      </c>
      <c r="E59" s="5"/>
      <c r="F59" s="3"/>
    </row>
    <row r="60" customFormat="false" ht="21.75" hidden="false" customHeight="true" outlineLevel="0" collapsed="false">
      <c r="A60" s="3"/>
      <c r="B60" s="4"/>
      <c r="C60" s="5"/>
      <c r="D60" s="3"/>
      <c r="E60" s="5"/>
      <c r="F60" s="3"/>
    </row>
    <row r="61" customFormat="false" ht="24.75" hidden="false" customHeight="true" outlineLevel="0" collapsed="false">
      <c r="A61" s="6" t="s">
        <v>217</v>
      </c>
      <c r="B61" s="6"/>
      <c r="C61" s="6"/>
      <c r="D61" s="6"/>
      <c r="E61" s="6"/>
      <c r="F61" s="6"/>
    </row>
    <row r="62" customFormat="false" ht="21.75" hidden="false" customHeight="true" outlineLevel="0" collapsed="false">
      <c r="A62" s="3" t="s">
        <v>218</v>
      </c>
      <c r="B62" s="23" t="n">
        <v>2000000</v>
      </c>
      <c r="C62" s="5" t="s">
        <v>29</v>
      </c>
      <c r="D62" s="3" t="s">
        <v>219</v>
      </c>
      <c r="E62" s="5"/>
      <c r="F62" s="3"/>
    </row>
    <row r="63" customFormat="false" ht="21.75" hidden="false" customHeight="true" outlineLevel="0" collapsed="false">
      <c r="A63" s="24" t="s">
        <v>220</v>
      </c>
      <c r="B63" s="25" t="n">
        <f aca="false">SUM(B30,B36,B42,B47,B59,B72)</f>
        <v>8606171.05</v>
      </c>
      <c r="C63" s="26" t="s">
        <v>29</v>
      </c>
      <c r="D63" s="24" t="s">
        <v>221</v>
      </c>
      <c r="E63" s="5"/>
      <c r="F63" s="3"/>
    </row>
    <row r="64" customFormat="false" ht="21.75" hidden="false" customHeight="true" outlineLevel="0" collapsed="false">
      <c r="A64" s="24" t="s">
        <v>222</v>
      </c>
      <c r="B64" s="25" t="n">
        <f aca="false">B63/B16</f>
        <v>7998.30023234201</v>
      </c>
      <c r="C64" s="26" t="s">
        <v>223</v>
      </c>
      <c r="D64" s="24" t="s">
        <v>224</v>
      </c>
      <c r="E64" s="5"/>
      <c r="F64" s="3"/>
    </row>
    <row r="65" customFormat="false" ht="21.75" hidden="false" customHeight="true" outlineLevel="0" collapsed="false">
      <c r="A65" s="3" t="s">
        <v>225</v>
      </c>
      <c r="B65" s="21" t="n">
        <f aca="false">B62/B16</f>
        <v>1858.73605947955</v>
      </c>
      <c r="C65" s="5" t="s">
        <v>223</v>
      </c>
      <c r="D65" s="3" t="s">
        <v>226</v>
      </c>
      <c r="E65" s="5"/>
      <c r="F65" s="3"/>
    </row>
    <row r="66" customFormat="false" ht="21.75" hidden="false" customHeight="true" outlineLevel="0" collapsed="false">
      <c r="A66" s="24" t="s">
        <v>227</v>
      </c>
      <c r="B66" s="25" t="n">
        <f aca="false">(B63+B62)/B16</f>
        <v>9857.03629182156</v>
      </c>
      <c r="C66" s="26" t="s">
        <v>223</v>
      </c>
      <c r="D66" s="24" t="s">
        <v>228</v>
      </c>
      <c r="E66" s="5"/>
      <c r="F66" s="3"/>
    </row>
    <row r="67" customFormat="false" ht="21.75" hidden="false" customHeight="true" outlineLevel="0" collapsed="false">
      <c r="A67" s="3" t="s">
        <v>229</v>
      </c>
      <c r="B67" s="21" t="n">
        <f aca="false">B63/B12</f>
        <v>5737.44736666667</v>
      </c>
      <c r="C67" s="5" t="s">
        <v>156</v>
      </c>
      <c r="D67" s="3" t="s">
        <v>230</v>
      </c>
      <c r="E67" s="5"/>
      <c r="F67" s="3"/>
    </row>
    <row r="68" customFormat="false" ht="21.75" hidden="false" customHeight="true" outlineLevel="0" collapsed="false">
      <c r="A68" s="3"/>
      <c r="B68" s="4"/>
      <c r="C68" s="5"/>
      <c r="D68" s="3"/>
      <c r="E68" s="5"/>
      <c r="F68" s="3"/>
    </row>
    <row r="69" customFormat="false" ht="24.75" hidden="false" customHeight="true" outlineLevel="0" collapsed="false">
      <c r="A69" s="6" t="s">
        <v>231</v>
      </c>
      <c r="B69" s="6"/>
      <c r="C69" s="6"/>
      <c r="D69" s="6"/>
      <c r="E69" s="6"/>
      <c r="F69" s="6"/>
    </row>
    <row r="70" customFormat="false" ht="21.75" hidden="false" customHeight="true" outlineLevel="0" collapsed="false">
      <c r="A70" s="3" t="s">
        <v>232</v>
      </c>
      <c r="B70" s="7" t="n">
        <v>150</v>
      </c>
      <c r="C70" s="5" t="s">
        <v>114</v>
      </c>
      <c r="D70" s="3" t="s">
        <v>233</v>
      </c>
      <c r="E70" s="5"/>
      <c r="F70" s="3"/>
    </row>
    <row r="71" customFormat="false" ht="21.75" hidden="false" customHeight="true" outlineLevel="0" collapsed="false">
      <c r="A71" s="3" t="s">
        <v>234</v>
      </c>
      <c r="B71" s="23" t="n">
        <v>700</v>
      </c>
      <c r="C71" s="5" t="s">
        <v>161</v>
      </c>
      <c r="D71" s="3" t="s">
        <v>235</v>
      </c>
      <c r="E71" s="5"/>
      <c r="F71" s="3"/>
    </row>
    <row r="72" customFormat="false" ht="21.75" hidden="false" customHeight="true" outlineLevel="0" collapsed="false">
      <c r="A72" s="3" t="s">
        <v>236</v>
      </c>
      <c r="B72" s="21" t="n">
        <f aca="false">B70*B71</f>
        <v>105000</v>
      </c>
      <c r="C72" s="5" t="s">
        <v>29</v>
      </c>
      <c r="D72" s="3" t="s">
        <v>237</v>
      </c>
      <c r="E72" s="5"/>
      <c r="F72" s="3"/>
    </row>
    <row r="73" customFormat="false" ht="21.75" hidden="false" customHeight="true" outlineLevel="0" collapsed="false">
      <c r="A73" s="3"/>
      <c r="B73" s="4"/>
      <c r="C73" s="5"/>
      <c r="D73" s="3"/>
      <c r="E73" s="5"/>
      <c r="F73" s="3"/>
    </row>
    <row r="74" customFormat="false" ht="27.75" hidden="false" customHeight="true" outlineLevel="0" collapsed="false">
      <c r="A74" s="16" t="s">
        <v>238</v>
      </c>
      <c r="B74" s="16"/>
      <c r="C74" s="16"/>
      <c r="D74" s="16"/>
      <c r="E74" s="16"/>
      <c r="F74" s="16"/>
    </row>
    <row r="75" customFormat="false" ht="21.75" hidden="false" customHeight="true" outlineLevel="0" collapsed="false">
      <c r="A75" s="3"/>
      <c r="B75" s="4"/>
      <c r="C75" s="5"/>
      <c r="D75" s="3"/>
      <c r="E75" s="5"/>
      <c r="F75" s="3"/>
    </row>
    <row r="76" customFormat="false" ht="21.75" hidden="false" customHeight="true" outlineLevel="0" collapsed="false">
      <c r="A76" s="3"/>
      <c r="B76" s="4"/>
      <c r="C76" s="5"/>
      <c r="D76" s="3"/>
      <c r="E76" s="5"/>
      <c r="F76" s="3"/>
    </row>
    <row r="77" customFormat="false" ht="21.75" hidden="false" customHeight="true" outlineLevel="0" collapsed="false">
      <c r="A77" s="3"/>
      <c r="B77" s="4"/>
      <c r="C77" s="5"/>
      <c r="D77" s="3"/>
      <c r="E77" s="5"/>
      <c r="F77" s="3"/>
    </row>
    <row r="78" customFormat="false" ht="21.75" hidden="false" customHeight="true" outlineLevel="0" collapsed="false">
      <c r="A78" s="3"/>
      <c r="B78" s="4"/>
      <c r="C78" s="5"/>
      <c r="D78" s="3"/>
      <c r="E78" s="5"/>
      <c r="F78" s="3"/>
    </row>
    <row r="79" customFormat="false" ht="21.75" hidden="false" customHeight="true" outlineLevel="0" collapsed="false">
      <c r="A79" s="3"/>
      <c r="B79" s="4"/>
      <c r="C79" s="5"/>
      <c r="D79" s="3"/>
      <c r="E79" s="5"/>
      <c r="F79" s="3"/>
    </row>
    <row r="80" customFormat="false" ht="21.75" hidden="false" customHeight="true" outlineLevel="0" collapsed="false">
      <c r="A80" s="3"/>
      <c r="B80" s="4"/>
      <c r="C80" s="5"/>
      <c r="D80" s="3"/>
      <c r="E80" s="5"/>
      <c r="F80" s="3"/>
    </row>
    <row r="81" customFormat="false" ht="21.75" hidden="false" customHeight="true" outlineLevel="0" collapsed="false">
      <c r="A81" s="5"/>
      <c r="B81" s="5"/>
      <c r="C81" s="5"/>
      <c r="D81" s="5"/>
      <c r="E81" s="5"/>
      <c r="F81" s="5"/>
    </row>
    <row r="82" customFormat="false" ht="21.75" hidden="false" customHeight="true" outlineLevel="0" collapsed="false">
      <c r="A82" s="5"/>
      <c r="B82" s="5"/>
      <c r="C82" s="5"/>
      <c r="D82" s="5"/>
      <c r="E82" s="5"/>
      <c r="F82" s="5"/>
    </row>
    <row r="83" customFormat="false" ht="21.75" hidden="false" customHeight="true" outlineLevel="0" collapsed="false">
      <c r="A83" s="5"/>
      <c r="B83" s="5"/>
      <c r="C83" s="5"/>
      <c r="D83" s="5"/>
      <c r="E83" s="5"/>
      <c r="F83" s="5"/>
    </row>
    <row r="84" customFormat="false" ht="21.75" hidden="false" customHeight="true" outlineLevel="0" collapsed="false">
      <c r="A84" s="5"/>
      <c r="B84" s="5"/>
      <c r="C84" s="5"/>
      <c r="D84" s="5"/>
      <c r="E84" s="5"/>
      <c r="F84" s="5"/>
    </row>
    <row r="85" customFormat="false" ht="21.75" hidden="false" customHeight="true" outlineLevel="0" collapsed="false">
      <c r="A85" s="5"/>
      <c r="B85" s="5"/>
      <c r="C85" s="5"/>
      <c r="D85" s="5"/>
      <c r="E85" s="5"/>
      <c r="F85" s="5"/>
    </row>
    <row r="86" customFormat="false" ht="21.75" hidden="false" customHeight="true" outlineLevel="0" collapsed="false">
      <c r="A86" s="5"/>
      <c r="B86" s="5"/>
      <c r="C86" s="5"/>
      <c r="D86" s="5"/>
      <c r="E86" s="5"/>
      <c r="F86" s="5"/>
    </row>
    <row r="87" customFormat="false" ht="21.75" hidden="false" customHeight="true" outlineLevel="0" collapsed="false">
      <c r="A87" s="5"/>
      <c r="B87" s="5"/>
      <c r="C87" s="5"/>
      <c r="D87" s="5"/>
      <c r="E87" s="5"/>
      <c r="F87" s="5"/>
    </row>
    <row r="88" customFormat="false" ht="21.75" hidden="false" customHeight="true" outlineLevel="0" collapsed="false">
      <c r="A88" s="5"/>
      <c r="B88" s="5"/>
      <c r="C88" s="5"/>
      <c r="D88" s="5"/>
      <c r="E88" s="5"/>
      <c r="F88" s="5"/>
    </row>
    <row r="89" customFormat="false" ht="21.75" hidden="false" customHeight="true" outlineLevel="0" collapsed="false">
      <c r="A89" s="5"/>
      <c r="B89" s="5"/>
      <c r="C89" s="5"/>
      <c r="D89" s="5"/>
      <c r="E89" s="5"/>
      <c r="F89" s="5"/>
    </row>
    <row r="90" customFormat="false" ht="21.75" hidden="false" customHeight="true" outlineLevel="0" collapsed="false">
      <c r="A90" s="5"/>
      <c r="B90" s="5"/>
      <c r="C90" s="5"/>
      <c r="D90" s="5"/>
      <c r="E90" s="5"/>
      <c r="F90" s="5"/>
    </row>
    <row r="91" customFormat="false" ht="21.75" hidden="false" customHeight="true" outlineLevel="0" collapsed="false">
      <c r="A91" s="5"/>
      <c r="B91" s="5"/>
      <c r="C91" s="5"/>
      <c r="D91" s="5"/>
      <c r="E91" s="5"/>
      <c r="F91" s="5"/>
    </row>
    <row r="92" customFormat="false" ht="21.75" hidden="false" customHeight="true" outlineLevel="0" collapsed="false">
      <c r="A92" s="5"/>
      <c r="B92" s="5"/>
      <c r="C92" s="5"/>
      <c r="D92" s="5"/>
      <c r="E92" s="5"/>
      <c r="F92" s="5"/>
    </row>
    <row r="93" customFormat="false" ht="21.75" hidden="false" customHeight="true" outlineLevel="0" collapsed="false">
      <c r="A93" s="5"/>
      <c r="B93" s="5"/>
      <c r="C93" s="5"/>
      <c r="D93" s="5"/>
      <c r="E93" s="5"/>
      <c r="F93" s="5"/>
    </row>
    <row r="94" customFormat="false" ht="21.75" hidden="false" customHeight="true" outlineLevel="0" collapsed="false">
      <c r="A94" s="5"/>
      <c r="B94" s="5"/>
      <c r="C94" s="5"/>
      <c r="D94" s="5"/>
      <c r="E94" s="5"/>
      <c r="F94" s="5"/>
    </row>
    <row r="95" customFormat="false" ht="21.75" hidden="false" customHeight="true" outlineLevel="0" collapsed="false">
      <c r="A95" s="5"/>
      <c r="B95" s="5"/>
      <c r="C95" s="5"/>
      <c r="D95" s="5"/>
      <c r="E95" s="5"/>
      <c r="F95" s="5"/>
    </row>
  </sheetData>
  <mergeCells count="12">
    <mergeCell ref="A1:F2"/>
    <mergeCell ref="A3:F3"/>
    <mergeCell ref="A4:F4"/>
    <mergeCell ref="A11:F11"/>
    <mergeCell ref="A21:F21"/>
    <mergeCell ref="A34:F34"/>
    <mergeCell ref="A38:F38"/>
    <mergeCell ref="A45:F45"/>
    <mergeCell ref="A49:F49"/>
    <mergeCell ref="A61:F61"/>
    <mergeCell ref="A69:F69"/>
    <mergeCell ref="A74:F7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7"/>
    <col collapsed="false" customWidth="true" hidden="false" outlineLevel="0" max="5" min="5" style="0" width="20"/>
    <col collapsed="false" customWidth="true" hidden="false" outlineLevel="0" max="6" min="6" style="0" width="31"/>
  </cols>
  <sheetData>
    <row r="1" customFormat="false" ht="22.5" hidden="false" customHeight="true" outlineLevel="0" collapsed="false">
      <c r="A1" s="1" t="s">
        <v>239</v>
      </c>
      <c r="B1" s="1"/>
      <c r="C1" s="1"/>
      <c r="D1" s="1"/>
      <c r="E1" s="1"/>
      <c r="F1" s="1"/>
    </row>
    <row r="2" customFormat="false" ht="22.5" hidden="false" customHeight="true" outlineLevel="0" collapsed="false">
      <c r="A2" s="1"/>
      <c r="B2" s="1"/>
      <c r="C2" s="1"/>
      <c r="D2" s="1"/>
      <c r="E2" s="1"/>
      <c r="F2" s="1"/>
    </row>
    <row r="3" customFormat="false" ht="28.5" hidden="false" customHeight="true" outlineLevel="0" collapsed="false">
      <c r="A3" s="2" t="s">
        <v>240</v>
      </c>
      <c r="B3" s="2"/>
      <c r="C3" s="2"/>
      <c r="D3" s="2"/>
      <c r="E3" s="2"/>
      <c r="F3" s="2"/>
    </row>
    <row r="4" customFormat="false" ht="24.75" hidden="false" customHeight="true" outlineLevel="0" collapsed="false">
      <c r="A4" s="6" t="s">
        <v>241</v>
      </c>
      <c r="B4" s="6"/>
      <c r="C4" s="6"/>
      <c r="D4" s="6"/>
      <c r="E4" s="6"/>
      <c r="F4" s="6"/>
    </row>
    <row r="5" customFormat="false" ht="21.75" hidden="false" customHeight="true" outlineLevel="0" collapsed="false">
      <c r="A5" s="3" t="s">
        <v>242</v>
      </c>
      <c r="B5" s="23" t="n">
        <v>0</v>
      </c>
      <c r="C5" s="5" t="s">
        <v>29</v>
      </c>
      <c r="D5" s="3" t="s">
        <v>243</v>
      </c>
      <c r="E5" s="5"/>
      <c r="F5" s="3"/>
    </row>
    <row r="6" customFormat="false" ht="21.75" hidden="false" customHeight="true" outlineLevel="0" collapsed="false">
      <c r="A6" s="3" t="s">
        <v>244</v>
      </c>
      <c r="B6" s="7" t="s">
        <v>245</v>
      </c>
      <c r="C6" s="5" t="s">
        <v>15</v>
      </c>
      <c r="D6" s="3" t="s">
        <v>246</v>
      </c>
      <c r="E6" s="5"/>
      <c r="F6" s="3"/>
    </row>
    <row r="7" customFormat="false" ht="21.75" hidden="false" customHeight="true" outlineLevel="0" collapsed="false">
      <c r="A7" s="3" t="s">
        <v>247</v>
      </c>
      <c r="B7" s="23" t="n">
        <v>4690000</v>
      </c>
      <c r="C7" s="5" t="s">
        <v>29</v>
      </c>
      <c r="D7" s="3" t="s">
        <v>248</v>
      </c>
      <c r="E7" s="5"/>
      <c r="F7" s="3"/>
    </row>
    <row r="8" customFormat="false" ht="21.75" hidden="false" customHeight="true" outlineLevel="0" collapsed="false">
      <c r="A8" s="3" t="s">
        <v>249</v>
      </c>
      <c r="B8" s="7" t="n">
        <v>190</v>
      </c>
      <c r="C8" s="5" t="s">
        <v>250</v>
      </c>
      <c r="D8" s="3" t="s">
        <v>251</v>
      </c>
      <c r="E8" s="5"/>
      <c r="F8" s="3"/>
    </row>
    <row r="9" customFormat="false" ht="21.75" hidden="false" customHeight="true" outlineLevel="0" collapsed="false">
      <c r="A9" s="3" t="s">
        <v>252</v>
      </c>
      <c r="B9" s="23" t="n">
        <v>29000</v>
      </c>
      <c r="C9" s="5" t="s">
        <v>253</v>
      </c>
      <c r="D9" s="3" t="s">
        <v>254</v>
      </c>
      <c r="E9" s="5"/>
      <c r="F9" s="3"/>
    </row>
    <row r="10" customFormat="false" ht="21.75" hidden="false" customHeight="true" outlineLevel="0" collapsed="false">
      <c r="A10" s="3" t="s">
        <v>255</v>
      </c>
      <c r="B10" s="23" t="n">
        <v>9490000</v>
      </c>
      <c r="C10" s="5" t="s">
        <v>29</v>
      </c>
      <c r="D10" s="3" t="s">
        <v>256</v>
      </c>
      <c r="E10" s="5"/>
      <c r="F10" s="3"/>
    </row>
    <row r="11" customFormat="false" ht="21.75" hidden="false" customHeight="true" outlineLevel="0" collapsed="false">
      <c r="A11" s="3" t="s">
        <v>257</v>
      </c>
      <c r="B11" s="7" t="n">
        <v>360</v>
      </c>
      <c r="C11" s="5" t="s">
        <v>250</v>
      </c>
      <c r="D11" s="3" t="s">
        <v>258</v>
      </c>
      <c r="E11" s="5"/>
      <c r="F11" s="3"/>
    </row>
    <row r="12" customFormat="false" ht="21.75" hidden="false" customHeight="true" outlineLevel="0" collapsed="false">
      <c r="A12" s="3" t="s">
        <v>259</v>
      </c>
      <c r="B12" s="23" t="n">
        <v>26000</v>
      </c>
      <c r="C12" s="5" t="s">
        <v>253</v>
      </c>
      <c r="D12" s="3" t="s">
        <v>260</v>
      </c>
      <c r="E12" s="5"/>
      <c r="F12" s="3"/>
    </row>
    <row r="13" customFormat="false" ht="24.75" hidden="false" customHeight="true" outlineLevel="0" collapsed="false">
      <c r="A13" s="6" t="s">
        <v>261</v>
      </c>
      <c r="B13" s="6"/>
      <c r="C13" s="6"/>
      <c r="D13" s="6"/>
      <c r="E13" s="6"/>
      <c r="F13" s="6"/>
    </row>
    <row r="14" customFormat="false" ht="21.75" hidden="false" customHeight="true" outlineLevel="0" collapsed="false">
      <c r="A14" s="3" t="s">
        <v>262</v>
      </c>
      <c r="B14" s="8" t="n">
        <f aca="false">1_Cost_Job!B18</f>
        <v>179.333333333333</v>
      </c>
      <c r="C14" s="5" t="s">
        <v>21</v>
      </c>
      <c r="D14" s="3" t="s">
        <v>263</v>
      </c>
      <c r="E14" s="5"/>
      <c r="F14" s="3"/>
    </row>
    <row r="15" customFormat="false" ht="21.75" hidden="false" customHeight="true" outlineLevel="0" collapsed="false">
      <c r="A15" s="3" t="s">
        <v>264</v>
      </c>
      <c r="B15" s="27" t="n">
        <f aca="false">MAX(0,B14-B8)</f>
        <v>0</v>
      </c>
      <c r="C15" s="5" t="s">
        <v>21</v>
      </c>
      <c r="D15" s="3" t="s">
        <v>265</v>
      </c>
      <c r="E15" s="5"/>
      <c r="F15" s="3"/>
    </row>
    <row r="16" customFormat="false" ht="21.75" hidden="false" customHeight="true" outlineLevel="0" collapsed="false">
      <c r="A16" s="3" t="s">
        <v>266</v>
      </c>
      <c r="B16" s="21" t="n">
        <f aca="false">B7+B15*B9</f>
        <v>4690000</v>
      </c>
      <c r="C16" s="5" t="s">
        <v>29</v>
      </c>
      <c r="D16" s="3" t="s">
        <v>267</v>
      </c>
      <c r="E16" s="5"/>
      <c r="F16" s="3"/>
    </row>
    <row r="17" customFormat="false" ht="21.75" hidden="false" customHeight="true" outlineLevel="0" collapsed="false">
      <c r="A17" s="3" t="s">
        <v>268</v>
      </c>
      <c r="B17" s="21" t="n">
        <f aca="false">B16*1_Cost_Job!B13</f>
        <v>28140000</v>
      </c>
      <c r="C17" s="5" t="s">
        <v>29</v>
      </c>
      <c r="D17" s="3" t="s">
        <v>269</v>
      </c>
      <c r="E17" s="5"/>
      <c r="F17" s="3"/>
    </row>
    <row r="18" customFormat="false" ht="21.75" hidden="false" customHeight="true" outlineLevel="0" collapsed="false">
      <c r="A18" s="3" t="s">
        <v>270</v>
      </c>
      <c r="B18" s="9" t="n">
        <f aca="false">1_Cost_Job!B63</f>
        <v>8606171.05</v>
      </c>
      <c r="C18" s="5" t="s">
        <v>29</v>
      </c>
      <c r="D18" s="3" t="s">
        <v>271</v>
      </c>
      <c r="E18" s="5"/>
      <c r="F18" s="3"/>
    </row>
    <row r="19" customFormat="false" ht="21.75" hidden="false" customHeight="true" outlineLevel="0" collapsed="false">
      <c r="A19" s="24" t="s">
        <v>272</v>
      </c>
      <c r="B19" s="28" t="n">
        <f aca="false">IF(B17&gt;0,1-B18/B17,0)</f>
        <v>0.69416591862118</v>
      </c>
      <c r="C19" s="26" t="s">
        <v>34</v>
      </c>
      <c r="D19" s="24" t="s">
        <v>273</v>
      </c>
      <c r="E19" s="5"/>
      <c r="F19" s="3"/>
    </row>
    <row r="20" customFormat="false" ht="21.75" hidden="false" customHeight="true" outlineLevel="0" collapsed="false">
      <c r="A20" s="3" t="s">
        <v>274</v>
      </c>
      <c r="B20" s="9" t="n">
        <f aca="false">1_Cost_Job!B64</f>
        <v>7998.30023234201</v>
      </c>
      <c r="C20" s="5" t="s">
        <v>24</v>
      </c>
      <c r="D20" s="3" t="s">
        <v>275</v>
      </c>
      <c r="E20" s="5"/>
      <c r="F20" s="3"/>
    </row>
    <row r="21" customFormat="false" ht="21.75" hidden="false" customHeight="true" outlineLevel="0" collapsed="false">
      <c r="A21" s="24" t="s">
        <v>276</v>
      </c>
      <c r="B21" s="25" t="n">
        <f aca="false">3*B20</f>
        <v>23994.900697026</v>
      </c>
      <c r="C21" s="26" t="s">
        <v>24</v>
      </c>
      <c r="D21" s="24" t="s">
        <v>277</v>
      </c>
      <c r="E21" s="5"/>
      <c r="F21" s="3"/>
    </row>
    <row r="22" customFormat="false" ht="21.75" hidden="false" customHeight="true" outlineLevel="0" collapsed="false">
      <c r="A22" s="3" t="s">
        <v>278</v>
      </c>
      <c r="B22" s="21" t="n">
        <f aca="false">B7/B8</f>
        <v>24684.2105263158</v>
      </c>
      <c r="C22" s="5" t="s">
        <v>24</v>
      </c>
      <c r="D22" s="3" t="s">
        <v>279</v>
      </c>
      <c r="E22" s="5"/>
      <c r="F22" s="3"/>
    </row>
    <row r="23" customFormat="false" ht="21.75" hidden="false" customHeight="true" outlineLevel="0" collapsed="false">
      <c r="A23" s="24" t="s">
        <v>280</v>
      </c>
      <c r="B23" s="25" t="n">
        <f aca="false">B21*B8</f>
        <v>4559031.13243495</v>
      </c>
      <c r="C23" s="26" t="s">
        <v>29</v>
      </c>
      <c r="D23" s="24" t="s">
        <v>281</v>
      </c>
      <c r="E23" s="5"/>
      <c r="F23" s="3"/>
    </row>
    <row r="24" customFormat="false" ht="21.75" hidden="false" customHeight="true" outlineLevel="0" collapsed="false">
      <c r="A24" s="3" t="s">
        <v>282</v>
      </c>
      <c r="B24" s="27" t="str">
        <f aca="false">IF(B7&gt;=B23,"ĐẠT","KHÔNG ĐẠT")</f>
        <v>ĐẠT</v>
      </c>
      <c r="C24" s="5" t="s">
        <v>283</v>
      </c>
      <c r="D24" s="3" t="s">
        <v>284</v>
      </c>
      <c r="E24" s="5"/>
      <c r="F24" s="3"/>
    </row>
    <row r="25" customFormat="false" ht="21.75" hidden="false" customHeight="true" outlineLevel="0" collapsed="false">
      <c r="A25" s="3"/>
      <c r="B25" s="4"/>
      <c r="C25" s="5"/>
      <c r="D25" s="3"/>
      <c r="E25" s="5"/>
      <c r="F25" s="3"/>
    </row>
    <row r="26" customFormat="false" ht="24.75" hidden="false" customHeight="true" outlineLevel="0" collapsed="false">
      <c r="A26" s="6" t="s">
        <v>285</v>
      </c>
      <c r="B26" s="6"/>
      <c r="C26" s="6"/>
      <c r="D26" s="6"/>
      <c r="E26" s="6"/>
      <c r="F26" s="6"/>
    </row>
    <row r="27" customFormat="false" ht="21.75" hidden="false" customHeight="true" outlineLevel="0" collapsed="false">
      <c r="A27" s="3" t="s">
        <v>286</v>
      </c>
      <c r="B27" s="7" t="n">
        <v>12</v>
      </c>
      <c r="C27" s="5" t="s">
        <v>287</v>
      </c>
      <c r="D27" s="3" t="s">
        <v>288</v>
      </c>
      <c r="E27" s="5"/>
      <c r="F27" s="3"/>
    </row>
    <row r="28" customFormat="false" ht="21.75" hidden="false" customHeight="true" outlineLevel="0" collapsed="false">
      <c r="A28" s="3" t="s">
        <v>289</v>
      </c>
      <c r="B28" s="23" t="n">
        <v>100000</v>
      </c>
      <c r="C28" s="5" t="s">
        <v>202</v>
      </c>
      <c r="D28" s="3" t="s">
        <v>290</v>
      </c>
      <c r="E28" s="5"/>
      <c r="F28" s="3"/>
    </row>
    <row r="29" customFormat="false" ht="21.75" hidden="false" customHeight="true" outlineLevel="0" collapsed="false">
      <c r="A29" s="3" t="s">
        <v>291</v>
      </c>
      <c r="B29" s="7" t="n">
        <v>24</v>
      </c>
      <c r="C29" s="5" t="s">
        <v>292</v>
      </c>
      <c r="D29" s="3" t="s">
        <v>293</v>
      </c>
      <c r="E29" s="5"/>
      <c r="F29" s="3"/>
    </row>
    <row r="30" customFormat="false" ht="21.75" hidden="false" customHeight="true" outlineLevel="0" collapsed="false">
      <c r="A30" s="3" t="s">
        <v>294</v>
      </c>
      <c r="B30" s="23" t="n">
        <v>650000</v>
      </c>
      <c r="C30" s="5" t="s">
        <v>24</v>
      </c>
      <c r="D30" s="3" t="s">
        <v>295</v>
      </c>
      <c r="E30" s="5"/>
      <c r="F30" s="3"/>
    </row>
    <row r="31" customFormat="false" ht="21.75" hidden="false" customHeight="true" outlineLevel="0" collapsed="false">
      <c r="A31" s="3" t="s">
        <v>296</v>
      </c>
      <c r="B31" s="7" t="n">
        <v>2</v>
      </c>
      <c r="C31" s="5" t="s">
        <v>292</v>
      </c>
      <c r="D31" s="3" t="s">
        <v>297</v>
      </c>
      <c r="E31" s="5"/>
      <c r="F31" s="3"/>
    </row>
    <row r="32" customFormat="false" ht="21.75" hidden="false" customHeight="true" outlineLevel="0" collapsed="false">
      <c r="A32" s="3" t="s">
        <v>298</v>
      </c>
      <c r="B32" s="23" t="n">
        <v>500000</v>
      </c>
      <c r="C32" s="5" t="s">
        <v>24</v>
      </c>
      <c r="D32" s="3" t="s">
        <v>299</v>
      </c>
      <c r="E32" s="5"/>
      <c r="F32" s="3"/>
    </row>
    <row r="33" customFormat="false" ht="21.75" hidden="false" customHeight="true" outlineLevel="0" collapsed="false">
      <c r="A33" s="3" t="s">
        <v>300</v>
      </c>
      <c r="B33" s="21" t="n">
        <f aca="false">B14*B27/60*B28</f>
        <v>3586666.66666667</v>
      </c>
      <c r="C33" s="5" t="s">
        <v>29</v>
      </c>
      <c r="D33" s="3" t="s">
        <v>301</v>
      </c>
      <c r="E33" s="5"/>
      <c r="F33" s="3"/>
    </row>
    <row r="34" customFormat="false" ht="21.75" hidden="false" customHeight="true" outlineLevel="0" collapsed="false">
      <c r="A34" s="3" t="s">
        <v>302</v>
      </c>
      <c r="B34" s="21" t="n">
        <f aca="false">B29*B30</f>
        <v>15600000</v>
      </c>
      <c r="C34" s="5" t="s">
        <v>29</v>
      </c>
      <c r="D34" s="3" t="s">
        <v>303</v>
      </c>
      <c r="E34" s="5"/>
      <c r="F34" s="3"/>
    </row>
    <row r="35" customFormat="false" ht="21.75" hidden="false" customHeight="true" outlineLevel="0" collapsed="false">
      <c r="A35" s="3" t="s">
        <v>304</v>
      </c>
      <c r="B35" s="21" t="n">
        <f aca="false">B31*B32</f>
        <v>1000000</v>
      </c>
      <c r="C35" s="5" t="s">
        <v>29</v>
      </c>
      <c r="D35" s="3" t="s">
        <v>305</v>
      </c>
      <c r="E35" s="5"/>
      <c r="F35" s="3"/>
    </row>
    <row r="36" customFormat="false" ht="21.75" hidden="false" customHeight="true" outlineLevel="0" collapsed="false">
      <c r="A36" s="3" t="s">
        <v>306</v>
      </c>
      <c r="B36" s="21" t="n">
        <f aca="false">SUM(B33:B35)</f>
        <v>20186666.6666667</v>
      </c>
      <c r="C36" s="5" t="s">
        <v>29</v>
      </c>
      <c r="D36" s="3" t="s">
        <v>307</v>
      </c>
      <c r="E36" s="5"/>
      <c r="F36" s="3"/>
    </row>
    <row r="37" customFormat="false" ht="21.75" hidden="false" customHeight="true" outlineLevel="0" collapsed="false">
      <c r="A37" s="3" t="s">
        <v>308</v>
      </c>
      <c r="B37" s="17" t="n">
        <v>0.1</v>
      </c>
      <c r="C37" s="5" t="s">
        <v>309</v>
      </c>
      <c r="D37" s="3" t="s">
        <v>310</v>
      </c>
      <c r="E37" s="5"/>
      <c r="F37" s="3"/>
    </row>
    <row r="38" customFormat="false" ht="21.75" hidden="false" customHeight="true" outlineLevel="0" collapsed="false">
      <c r="A38" s="3" t="s">
        <v>311</v>
      </c>
      <c r="B38" s="17" t="n">
        <v>0.25</v>
      </c>
      <c r="C38" s="5" t="s">
        <v>309</v>
      </c>
      <c r="D38" s="3" t="s">
        <v>312</v>
      </c>
      <c r="E38" s="5"/>
      <c r="F38" s="3"/>
    </row>
    <row r="39" customFormat="false" ht="21.75" hidden="false" customHeight="true" outlineLevel="0" collapsed="false">
      <c r="A39" s="24" t="s">
        <v>313</v>
      </c>
      <c r="B39" s="25" t="n">
        <f aca="false">B36*B38</f>
        <v>5046666.66666667</v>
      </c>
      <c r="C39" s="26" t="s">
        <v>177</v>
      </c>
      <c r="D39" s="24" t="s">
        <v>314</v>
      </c>
      <c r="E39" s="5"/>
      <c r="F39" s="3"/>
    </row>
    <row r="40" customFormat="false" ht="21.75" hidden="false" customHeight="true" outlineLevel="0" collapsed="false">
      <c r="A40" s="3" t="s">
        <v>315</v>
      </c>
      <c r="B40" s="22" t="n">
        <f aca="false">IF(B36&gt;0,B7/B36,0)</f>
        <v>0.232331571994716</v>
      </c>
      <c r="C40" s="5" t="s">
        <v>34</v>
      </c>
      <c r="D40" s="3" t="s">
        <v>316</v>
      </c>
      <c r="E40" s="5"/>
      <c r="F40" s="3"/>
    </row>
    <row r="41" customFormat="false" ht="21.75" hidden="false" customHeight="true" outlineLevel="0" collapsed="false">
      <c r="A41" s="24" t="s">
        <v>317</v>
      </c>
      <c r="B41" s="29" t="str">
        <f aca="false">IF(AND(B24="ĐẠT",B7&lt;=B39,B19&gt;=B47),"TẠM ĐẠT (GIẢ ĐỊNH)","CẦN SỬA")</f>
        <v>TẠM ĐẠT (GIẢ ĐỊNH)</v>
      </c>
      <c r="C41" s="26" t="s">
        <v>318</v>
      </c>
      <c r="D41" s="24" t="s">
        <v>319</v>
      </c>
      <c r="E41" s="5"/>
      <c r="F41" s="3"/>
    </row>
    <row r="42" customFormat="false" ht="21.75" hidden="false" customHeight="true" outlineLevel="0" collapsed="false">
      <c r="A42" s="3"/>
      <c r="B42" s="4"/>
      <c r="C42" s="5"/>
      <c r="D42" s="3"/>
      <c r="E42" s="5"/>
      <c r="F42" s="3"/>
    </row>
    <row r="43" customFormat="false" ht="24.75" hidden="false" customHeight="true" outlineLevel="0" collapsed="false">
      <c r="A43" s="6" t="s">
        <v>320</v>
      </c>
      <c r="B43" s="6"/>
      <c r="C43" s="6"/>
      <c r="D43" s="6"/>
      <c r="E43" s="6"/>
      <c r="F43" s="6"/>
    </row>
    <row r="44" customFormat="false" ht="21.75" hidden="false" customHeight="true" outlineLevel="0" collapsed="false">
      <c r="A44" s="3" t="s">
        <v>321</v>
      </c>
      <c r="B44" s="9" t="n">
        <f aca="false">1_Cost_Job!B62</f>
        <v>2000000</v>
      </c>
      <c r="C44" s="5" t="s">
        <v>29</v>
      </c>
      <c r="D44" s="3" t="s">
        <v>322</v>
      </c>
      <c r="E44" s="5"/>
      <c r="F44" s="3"/>
    </row>
    <row r="45" customFormat="false" ht="21.75" hidden="false" customHeight="true" outlineLevel="0" collapsed="false">
      <c r="A45" s="3" t="s">
        <v>323</v>
      </c>
      <c r="B45" s="21" t="n">
        <f aca="false">B17-B18-B44</f>
        <v>17533828.95</v>
      </c>
      <c r="C45" s="5" t="s">
        <v>29</v>
      </c>
      <c r="D45" s="3" t="s">
        <v>324</v>
      </c>
      <c r="E45" s="5"/>
      <c r="F45" s="3"/>
    </row>
    <row r="46" customFormat="false" ht="21.75" hidden="false" customHeight="true" outlineLevel="0" collapsed="false">
      <c r="A46" s="3"/>
      <c r="B46" s="4"/>
      <c r="C46" s="5"/>
      <c r="D46" s="3"/>
      <c r="E46" s="5"/>
      <c r="F46" s="3"/>
    </row>
    <row r="47" customFormat="false" ht="21.75" hidden="false" customHeight="true" outlineLevel="0" collapsed="false">
      <c r="A47" s="3" t="s">
        <v>325</v>
      </c>
      <c r="B47" s="10" t="n">
        <f aca="false">6_Benchmarks!B19</f>
        <v>0.6</v>
      </c>
      <c r="C47" s="5" t="s">
        <v>34</v>
      </c>
      <c r="D47" s="3" t="s">
        <v>326</v>
      </c>
      <c r="E47" s="5"/>
      <c r="F47" s="3"/>
    </row>
    <row r="48" customFormat="false" ht="21.75" hidden="false" customHeight="true" outlineLevel="0" collapsed="false">
      <c r="A48" s="3" t="s">
        <v>327</v>
      </c>
      <c r="B48" s="21" t="n">
        <f aca="false">1_Cost_Job!B12*1_Cost_Job!B54*1_Cost_Job!B55/60*1_Cost_Job!B53</f>
        <v>5625000</v>
      </c>
      <c r="C48" s="5" t="s">
        <v>29</v>
      </c>
      <c r="D48" s="3" t="s">
        <v>328</v>
      </c>
      <c r="E48" s="5"/>
      <c r="F48" s="3"/>
    </row>
    <row r="49" customFormat="false" ht="21.75" hidden="false" customHeight="true" outlineLevel="0" collapsed="false">
      <c r="A49" s="3" t="s">
        <v>329</v>
      </c>
      <c r="B49" s="21" t="n">
        <f aca="false">1_Cost_Job!B63-1_Cost_Job!B58</f>
        <v>7368671.05</v>
      </c>
      <c r="C49" s="5" t="s">
        <v>29</v>
      </c>
      <c r="D49" s="3" t="s">
        <v>330</v>
      </c>
      <c r="E49" s="5"/>
      <c r="F49" s="3"/>
    </row>
    <row r="50" customFormat="false" ht="21.75" hidden="false" customHeight="true" outlineLevel="0" collapsed="false">
      <c r="A50" s="24" t="s">
        <v>331</v>
      </c>
      <c r="B50" s="28" t="n">
        <f aca="false">(B49+B48)/(1_Cost_Job!B12*1_Cost_Job!B15*(1-B47)*B22+B48)</f>
        <v>0.674971907902112</v>
      </c>
      <c r="C50" s="26" t="s">
        <v>34</v>
      </c>
      <c r="D50" s="24" t="s">
        <v>332</v>
      </c>
      <c r="E50" s="5"/>
      <c r="F50" s="3"/>
    </row>
    <row r="51" customFormat="false" ht="21.75" hidden="false" customHeight="true" outlineLevel="0" collapsed="false">
      <c r="A51" s="3" t="s">
        <v>333</v>
      </c>
      <c r="B51" s="22" t="n">
        <f aca="false">B52-B50</f>
        <v>0.105028092097889</v>
      </c>
      <c r="C51" s="5" t="s">
        <v>334</v>
      </c>
      <c r="D51" s="3" t="s">
        <v>335</v>
      </c>
      <c r="E51" s="5"/>
      <c r="F51" s="3"/>
    </row>
    <row r="52" customFormat="false" ht="21.75" hidden="false" customHeight="true" outlineLevel="0" collapsed="false">
      <c r="A52" s="3" t="s">
        <v>336</v>
      </c>
      <c r="B52" s="10" t="n">
        <f aca="false">1_Cost_Job!B14</f>
        <v>0.78</v>
      </c>
      <c r="C52" s="5" t="s">
        <v>34</v>
      </c>
      <c r="D52" s="3" t="s">
        <v>337</v>
      </c>
      <c r="E52" s="5"/>
      <c r="F52" s="3"/>
    </row>
    <row r="53" customFormat="false" ht="21.75" hidden="false" customHeight="true" outlineLevel="0" collapsed="false">
      <c r="A53" s="3"/>
      <c r="B53" s="4"/>
      <c r="C53" s="5"/>
      <c r="D53" s="3"/>
      <c r="E53" s="5"/>
      <c r="F53" s="3"/>
    </row>
    <row r="54" customFormat="false" ht="21.75" hidden="false" customHeight="true" outlineLevel="0" collapsed="false">
      <c r="A54" s="3"/>
      <c r="B54" s="4"/>
      <c r="C54" s="5"/>
      <c r="D54" s="3"/>
      <c r="E54" s="5"/>
      <c r="F54" s="3"/>
    </row>
    <row r="55" customFormat="false" ht="24.75" hidden="false" customHeight="true" outlineLevel="0" collapsed="false">
      <c r="A55" s="6" t="s">
        <v>338</v>
      </c>
      <c r="B55" s="6"/>
      <c r="C55" s="6"/>
      <c r="D55" s="6"/>
      <c r="E55" s="6"/>
      <c r="F55" s="6"/>
    </row>
    <row r="56" customFormat="false" ht="27" hidden="false" customHeight="true" outlineLevel="0" collapsed="false">
      <c r="A56" s="30" t="s">
        <v>339</v>
      </c>
      <c r="B56" s="31" t="s">
        <v>340</v>
      </c>
      <c r="C56" s="32" t="s">
        <v>341</v>
      </c>
      <c r="D56" s="30" t="s">
        <v>342</v>
      </c>
      <c r="E56" s="32" t="s">
        <v>343</v>
      </c>
      <c r="F56" s="3"/>
    </row>
    <row r="57" customFormat="false" ht="21.75" hidden="false" customHeight="true" outlineLevel="0" collapsed="false">
      <c r="A57" s="33" t="n">
        <v>0.5</v>
      </c>
      <c r="B57" s="4" t="n">
        <f aca="false">1_Cost_Job!B12*A57*1_Cost_Job!B15</f>
        <v>690</v>
      </c>
      <c r="C57" s="34" t="n">
        <f aca="false">$B$49+$B$48*(1-A57)</f>
        <v>10181171.05</v>
      </c>
      <c r="D57" s="35" t="n">
        <f aca="false">C57/B57</f>
        <v>14755.3203623188</v>
      </c>
      <c r="E57" s="36" t="n">
        <f aca="false">1-D57/$B$22</f>
        <v>0.402236488520132</v>
      </c>
      <c r="F57" s="3"/>
    </row>
    <row r="58" customFormat="false" ht="21.75" hidden="false" customHeight="true" outlineLevel="0" collapsed="false">
      <c r="A58" s="33" t="n">
        <v>0.6</v>
      </c>
      <c r="B58" s="4" t="n">
        <f aca="false">1_Cost_Job!B12*A58*1_Cost_Job!B15</f>
        <v>828</v>
      </c>
      <c r="C58" s="34" t="n">
        <f aca="false">$B$49+$B$48*(1-A58)</f>
        <v>9618671.05</v>
      </c>
      <c r="D58" s="35" t="n">
        <f aca="false">C58/B58</f>
        <v>11616.7524758454</v>
      </c>
      <c r="E58" s="36" t="n">
        <f aca="false">1-D58/$B$22</f>
        <v>0.529385294155516</v>
      </c>
      <c r="F58" s="3"/>
    </row>
    <row r="59" customFormat="false" ht="21.75" hidden="false" customHeight="true" outlineLevel="0" collapsed="false">
      <c r="A59" s="33" t="n">
        <v>0.7</v>
      </c>
      <c r="B59" s="4" t="n">
        <f aca="false">1_Cost_Job!B12*A59*1_Cost_Job!B15</f>
        <v>966</v>
      </c>
      <c r="C59" s="34" t="n">
        <f aca="false">$B$49+$B$48*(1-A59)</f>
        <v>9056171.05</v>
      </c>
      <c r="D59" s="35" t="n">
        <f aca="false">C59/B59</f>
        <v>9374.91827122153</v>
      </c>
      <c r="E59" s="36" t="n">
        <f aca="false">1-D59/$B$22</f>
        <v>0.620205869609362</v>
      </c>
      <c r="F59" s="3"/>
    </row>
    <row r="60" customFormat="false" ht="21.75" hidden="false" customHeight="true" outlineLevel="0" collapsed="false">
      <c r="A60" s="33" t="n">
        <v>0.78</v>
      </c>
      <c r="B60" s="4" t="n">
        <f aca="false">1_Cost_Job!B12*A60*1_Cost_Job!B15</f>
        <v>1076.4</v>
      </c>
      <c r="C60" s="34" t="n">
        <f aca="false">$B$49+$B$48*(1-A60)</f>
        <v>8606171.05</v>
      </c>
      <c r="D60" s="35" t="n">
        <f aca="false">C60/B60</f>
        <v>7995.32799145299</v>
      </c>
      <c r="E60" s="36" t="n">
        <f aca="false">1-D60/$B$22</f>
        <v>0.676095454504037</v>
      </c>
      <c r="F60" s="3"/>
    </row>
    <row r="61" customFormat="false" ht="21.75" hidden="false" customHeight="true" outlineLevel="0" collapsed="false">
      <c r="A61" s="33" t="n">
        <v>0.8</v>
      </c>
      <c r="B61" s="4" t="n">
        <f aca="false">1_Cost_Job!B12*A61*1_Cost_Job!B15</f>
        <v>1104</v>
      </c>
      <c r="C61" s="34" t="n">
        <f aca="false">$B$49+$B$48*(1-A61)</f>
        <v>8493671.05</v>
      </c>
      <c r="D61" s="35" t="n">
        <f aca="false">C61/B61</f>
        <v>7693.54261775362</v>
      </c>
      <c r="E61" s="36" t="n">
        <f aca="false">1-D61/$B$22</f>
        <v>0.688321301199747</v>
      </c>
      <c r="F61" s="3"/>
    </row>
    <row r="62" customFormat="false" ht="21.75" hidden="false" customHeight="true" outlineLevel="0" collapsed="false">
      <c r="A62" s="33" t="n">
        <v>0.9</v>
      </c>
      <c r="B62" s="4" t="n">
        <f aca="false">1_Cost_Job!B12*A62*1_Cost_Job!B15</f>
        <v>1242</v>
      </c>
      <c r="C62" s="34" t="n">
        <f aca="false">$B$49+$B$48*(1-A62)</f>
        <v>7931171.05</v>
      </c>
      <c r="D62" s="35" t="n">
        <f aca="false">C62/B62</f>
        <v>6385.8059983897</v>
      </c>
      <c r="E62" s="36" t="n">
        <f aca="false">1-D62/$B$22</f>
        <v>0.74129997021449</v>
      </c>
      <c r="F62" s="3"/>
    </row>
    <row r="63" customFormat="false" ht="21.75" hidden="false" customHeight="true" outlineLevel="0" collapsed="false">
      <c r="A63" s="3"/>
      <c r="B63" s="4"/>
      <c r="C63" s="5"/>
      <c r="D63" s="3"/>
      <c r="E63" s="5"/>
      <c r="F63" s="3"/>
    </row>
    <row r="64" customFormat="false" ht="24.75" hidden="false" customHeight="true" outlineLevel="0" collapsed="false">
      <c r="A64" s="6" t="s">
        <v>344</v>
      </c>
      <c r="B64" s="6"/>
      <c r="C64" s="6"/>
      <c r="D64" s="6"/>
      <c r="E64" s="6"/>
      <c r="F64" s="6"/>
    </row>
    <row r="65" customFormat="false" ht="21.75" hidden="false" customHeight="true" outlineLevel="0" collapsed="false">
      <c r="A65" s="3" t="s">
        <v>345</v>
      </c>
      <c r="B65" s="7" t="n">
        <v>2</v>
      </c>
      <c r="C65" s="5" t="s">
        <v>346</v>
      </c>
      <c r="D65" s="3" t="s">
        <v>347</v>
      </c>
      <c r="E65" s="5"/>
      <c r="F65" s="3"/>
    </row>
    <row r="66" customFormat="false" ht="21.75" hidden="false" customHeight="true" outlineLevel="0" collapsed="false">
      <c r="A66" s="3" t="s">
        <v>348</v>
      </c>
      <c r="B66" s="21" t="n">
        <f aca="false">B18+(1_Cost_Job!B30+1_Cost_Job!B47)*(B65-1)</f>
        <v>9019842.1</v>
      </c>
      <c r="C66" s="5" t="s">
        <v>29</v>
      </c>
      <c r="D66" s="3" t="s">
        <v>349</v>
      </c>
      <c r="E66" s="5"/>
      <c r="F66" s="3"/>
    </row>
    <row r="67" customFormat="false" ht="21.75" hidden="false" customHeight="true" outlineLevel="0" collapsed="false">
      <c r="A67" s="3" t="s">
        <v>350</v>
      </c>
      <c r="B67" s="22" t="n">
        <f aca="false">1-B66/B17</f>
        <v>0.679465454868515</v>
      </c>
      <c r="C67" s="5" t="s">
        <v>34</v>
      </c>
      <c r="D67" s="3" t="s">
        <v>351</v>
      </c>
      <c r="E67" s="5"/>
      <c r="F67" s="3"/>
    </row>
    <row r="68" customFormat="false" ht="21.75" hidden="false" customHeight="true" outlineLevel="0" collapsed="false">
      <c r="A68" s="3" t="s">
        <v>352</v>
      </c>
      <c r="B68" s="21" t="n">
        <f aca="false">B10/B11</f>
        <v>26361.1111111111</v>
      </c>
      <c r="C68" s="5" t="s">
        <v>24</v>
      </c>
      <c r="D68" s="3" t="s">
        <v>353</v>
      </c>
      <c r="E68" s="5"/>
      <c r="F68" s="3"/>
    </row>
    <row r="69" customFormat="false" ht="21.75" hidden="false" customHeight="true" outlineLevel="0" collapsed="false">
      <c r="A69" s="3" t="s">
        <v>354</v>
      </c>
      <c r="B69" s="27" t="str">
        <f aca="false">IF(B68&gt;=B21,"TẠM ĐẠT","CẦN SỬA")</f>
        <v>TẠM ĐẠT</v>
      </c>
      <c r="C69" s="5" t="s">
        <v>355</v>
      </c>
      <c r="D69" s="3" t="s">
        <v>356</v>
      </c>
      <c r="E69" s="5"/>
      <c r="F69" s="3"/>
    </row>
    <row r="70" customFormat="false" ht="21.75" hidden="false" customHeight="true" outlineLevel="0" collapsed="false">
      <c r="A70" s="3"/>
      <c r="B70" s="4"/>
      <c r="C70" s="5"/>
      <c r="D70" s="3"/>
      <c r="E70" s="5"/>
      <c r="F70" s="3"/>
    </row>
    <row r="71" customFormat="false" ht="27.75" hidden="false" customHeight="true" outlineLevel="0" collapsed="false">
      <c r="A71" s="16" t="s">
        <v>357</v>
      </c>
      <c r="B71" s="16"/>
      <c r="C71" s="16"/>
      <c r="D71" s="16"/>
      <c r="E71" s="16"/>
      <c r="F71" s="16"/>
    </row>
    <row r="72" customFormat="false" ht="21.75" hidden="false" customHeight="true" outlineLevel="0" collapsed="false">
      <c r="A72" s="3"/>
      <c r="B72" s="4"/>
      <c r="C72" s="5"/>
      <c r="D72" s="3"/>
      <c r="E72" s="5"/>
      <c r="F72" s="3"/>
    </row>
    <row r="73" customFormat="false" ht="21.75" hidden="false" customHeight="true" outlineLevel="0" collapsed="false">
      <c r="A73" s="3"/>
      <c r="B73" s="4"/>
      <c r="C73" s="5"/>
      <c r="D73" s="3"/>
      <c r="E73" s="5"/>
      <c r="F73" s="3"/>
    </row>
    <row r="74" customFormat="false" ht="21.75" hidden="false" customHeight="true" outlineLevel="0" collapsed="false">
      <c r="A74" s="3"/>
      <c r="B74" s="4"/>
      <c r="C74" s="5"/>
      <c r="D74" s="3"/>
      <c r="E74" s="5"/>
      <c r="F74" s="3"/>
    </row>
    <row r="75" customFormat="false" ht="21.75" hidden="false" customHeight="true" outlineLevel="0" collapsed="false">
      <c r="A75" s="3"/>
      <c r="B75" s="4"/>
      <c r="C75" s="5"/>
      <c r="D75" s="3"/>
      <c r="E75" s="5"/>
      <c r="F75" s="3"/>
    </row>
    <row r="76" customFormat="false" ht="21.75" hidden="false" customHeight="true" outlineLevel="0" collapsed="false">
      <c r="A76" s="3"/>
      <c r="B76" s="4"/>
      <c r="C76" s="5"/>
      <c r="D76" s="3"/>
      <c r="E76" s="5"/>
      <c r="F76" s="3"/>
    </row>
    <row r="77" customFormat="false" ht="21.75" hidden="false" customHeight="true" outlineLevel="0" collapsed="false">
      <c r="A77" s="3"/>
      <c r="B77" s="4"/>
      <c r="C77" s="5"/>
      <c r="D77" s="3"/>
      <c r="E77" s="5"/>
      <c r="F77" s="3"/>
    </row>
    <row r="78" customFormat="false" ht="21.75" hidden="false" customHeight="true" outlineLevel="0" collapsed="false">
      <c r="A78" s="3"/>
      <c r="B78" s="4"/>
      <c r="C78" s="5"/>
      <c r="D78" s="3"/>
      <c r="E78" s="5"/>
      <c r="F78" s="3"/>
    </row>
    <row r="79" customFormat="false" ht="21.75" hidden="false" customHeight="true" outlineLevel="0" collapsed="false">
      <c r="A79" s="3"/>
      <c r="B79" s="4"/>
      <c r="C79" s="5"/>
      <c r="D79" s="3"/>
      <c r="E79" s="5"/>
      <c r="F79" s="3"/>
    </row>
    <row r="80" customFormat="false" ht="21.75" hidden="false" customHeight="true" outlineLevel="0" collapsed="false">
      <c r="A80" s="3"/>
      <c r="B80" s="4"/>
      <c r="C80" s="5"/>
      <c r="D80" s="3"/>
      <c r="E80" s="5"/>
      <c r="F80" s="3"/>
    </row>
    <row r="81" customFormat="false" ht="21.75" hidden="false" customHeight="true" outlineLevel="0" collapsed="false">
      <c r="A81" s="5"/>
      <c r="B81" s="5"/>
      <c r="C81" s="5"/>
      <c r="D81" s="5"/>
      <c r="E81" s="5"/>
      <c r="F81" s="5"/>
    </row>
    <row r="82" customFormat="false" ht="21.75" hidden="false" customHeight="true" outlineLevel="0" collapsed="false">
      <c r="A82" s="5"/>
      <c r="B82" s="5"/>
      <c r="C82" s="5"/>
      <c r="D82" s="5"/>
      <c r="E82" s="5"/>
      <c r="F82" s="5"/>
    </row>
    <row r="83" customFormat="false" ht="21.75" hidden="false" customHeight="true" outlineLevel="0" collapsed="false">
      <c r="A83" s="5"/>
      <c r="B83" s="5"/>
      <c r="C83" s="5"/>
      <c r="D83" s="5"/>
      <c r="E83" s="5"/>
      <c r="F83" s="5"/>
    </row>
    <row r="84" customFormat="false" ht="21.75" hidden="false" customHeight="true" outlineLevel="0" collapsed="false">
      <c r="A84" s="5"/>
      <c r="B84" s="5"/>
      <c r="C84" s="5"/>
      <c r="D84" s="5"/>
      <c r="E84" s="5"/>
      <c r="F84" s="5"/>
    </row>
    <row r="85" customFormat="false" ht="21.75" hidden="false" customHeight="true" outlineLevel="0" collapsed="false">
      <c r="A85" s="5"/>
      <c r="B85" s="5"/>
      <c r="C85" s="5"/>
      <c r="D85" s="5"/>
      <c r="E85" s="5"/>
      <c r="F85" s="5"/>
    </row>
    <row r="86" customFormat="false" ht="21.75" hidden="false" customHeight="true" outlineLevel="0" collapsed="false">
      <c r="A86" s="5"/>
      <c r="B86" s="5"/>
      <c r="C86" s="5"/>
      <c r="D86" s="5"/>
      <c r="E86" s="5"/>
      <c r="F86" s="5"/>
    </row>
    <row r="87" customFormat="false" ht="21.75" hidden="false" customHeight="true" outlineLevel="0" collapsed="false">
      <c r="A87" s="5"/>
      <c r="B87" s="5"/>
      <c r="C87" s="5"/>
      <c r="D87" s="5"/>
      <c r="E87" s="5"/>
      <c r="F87" s="5"/>
    </row>
    <row r="88" customFormat="false" ht="21.75" hidden="false" customHeight="true" outlineLevel="0" collapsed="false">
      <c r="A88" s="5"/>
      <c r="B88" s="5"/>
      <c r="C88" s="5"/>
      <c r="D88" s="5"/>
      <c r="E88" s="5"/>
      <c r="F88" s="5"/>
    </row>
    <row r="89" customFormat="false" ht="21.75" hidden="false" customHeight="true" outlineLevel="0" collapsed="false">
      <c r="A89" s="5"/>
      <c r="B89" s="5"/>
      <c r="C89" s="5"/>
      <c r="D89" s="5"/>
      <c r="E89" s="5"/>
      <c r="F89" s="5"/>
    </row>
    <row r="90" customFormat="false" ht="21.75" hidden="false" customHeight="true" outlineLevel="0" collapsed="false">
      <c r="A90" s="5"/>
      <c r="B90" s="5"/>
      <c r="C90" s="5"/>
      <c r="D90" s="5"/>
      <c r="E90" s="5"/>
      <c r="F90" s="5"/>
    </row>
    <row r="91" customFormat="false" ht="21.75" hidden="false" customHeight="true" outlineLevel="0" collapsed="false">
      <c r="A91" s="5"/>
      <c r="B91" s="5"/>
      <c r="C91" s="5"/>
      <c r="D91" s="5"/>
      <c r="E91" s="5"/>
      <c r="F91" s="5"/>
    </row>
    <row r="92" customFormat="false" ht="21.75" hidden="false" customHeight="true" outlineLevel="0" collapsed="false">
      <c r="A92" s="5"/>
      <c r="B92" s="5"/>
      <c r="C92" s="5"/>
      <c r="D92" s="5"/>
      <c r="E92" s="5"/>
      <c r="F92" s="5"/>
    </row>
    <row r="93" customFormat="false" ht="21.75" hidden="false" customHeight="true" outlineLevel="0" collapsed="false">
      <c r="A93" s="5"/>
      <c r="B93" s="5"/>
      <c r="C93" s="5"/>
      <c r="D93" s="5"/>
      <c r="E93" s="5"/>
      <c r="F93" s="5"/>
    </row>
    <row r="94" customFormat="false" ht="21.75" hidden="false" customHeight="true" outlineLevel="0" collapsed="false">
      <c r="A94" s="5"/>
      <c r="B94" s="5"/>
      <c r="C94" s="5"/>
      <c r="D94" s="5"/>
      <c r="E94" s="5"/>
      <c r="F94" s="5"/>
    </row>
    <row r="95" customFormat="false" ht="21.75" hidden="false" customHeight="true" outlineLevel="0" collapsed="false">
      <c r="A95" s="5"/>
      <c r="B95" s="5"/>
      <c r="C95" s="5"/>
      <c r="D95" s="5"/>
      <c r="E95" s="5"/>
      <c r="F95" s="5"/>
    </row>
  </sheetData>
  <mergeCells count="9">
    <mergeCell ref="A1:F2"/>
    <mergeCell ref="A3:F3"/>
    <mergeCell ref="A4:F4"/>
    <mergeCell ref="A13:F13"/>
    <mergeCell ref="A26:F26"/>
    <mergeCell ref="A43:F43"/>
    <mergeCell ref="A55:F55"/>
    <mergeCell ref="A64:F64"/>
    <mergeCell ref="A71:F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7"/>
    <col collapsed="false" customWidth="true" hidden="false" outlineLevel="0" max="5" min="5" style="0" width="20"/>
    <col collapsed="false" customWidth="true" hidden="false" outlineLevel="0" max="6" min="6" style="0" width="31"/>
  </cols>
  <sheetData>
    <row r="1" customFormat="false" ht="22.5" hidden="false" customHeight="true" outlineLevel="0" collapsed="false">
      <c r="A1" s="1" t="s">
        <v>358</v>
      </c>
      <c r="B1" s="1"/>
      <c r="C1" s="1"/>
      <c r="D1" s="1"/>
      <c r="E1" s="1"/>
      <c r="F1" s="1"/>
    </row>
    <row r="2" customFormat="false" ht="22.5" hidden="false" customHeight="true" outlineLevel="0" collapsed="false">
      <c r="A2" s="1"/>
      <c r="B2" s="1"/>
      <c r="C2" s="1"/>
      <c r="D2" s="1"/>
      <c r="E2" s="1"/>
      <c r="F2" s="1"/>
    </row>
    <row r="3" customFormat="false" ht="28.5" hidden="false" customHeight="true" outlineLevel="0" collapsed="false">
      <c r="A3" s="2" t="s">
        <v>359</v>
      </c>
      <c r="B3" s="2"/>
      <c r="C3" s="2"/>
      <c r="D3" s="2"/>
      <c r="E3" s="2"/>
      <c r="F3" s="2"/>
    </row>
    <row r="4" customFormat="false" ht="24.75" hidden="false" customHeight="true" outlineLevel="0" collapsed="false">
      <c r="A4" s="6" t="s">
        <v>360</v>
      </c>
      <c r="B4" s="6"/>
      <c r="C4" s="6"/>
      <c r="D4" s="6"/>
      <c r="E4" s="6"/>
      <c r="F4" s="6"/>
    </row>
    <row r="5" customFormat="false" ht="21.75" hidden="false" customHeight="true" outlineLevel="0" collapsed="false">
      <c r="A5" s="3" t="s">
        <v>361</v>
      </c>
      <c r="B5" s="7" t="s">
        <v>362</v>
      </c>
      <c r="C5" s="5" t="s">
        <v>363</v>
      </c>
      <c r="D5" s="3" t="s">
        <v>364</v>
      </c>
      <c r="E5" s="5"/>
      <c r="F5" s="3"/>
    </row>
    <row r="6" customFormat="false" ht="21.75" hidden="false" customHeight="true" outlineLevel="0" collapsed="false">
      <c r="A6" s="3" t="s">
        <v>7</v>
      </c>
      <c r="B6" s="7" t="s">
        <v>365</v>
      </c>
      <c r="C6" s="5" t="s">
        <v>366</v>
      </c>
      <c r="D6" s="3" t="s">
        <v>367</v>
      </c>
      <c r="E6" s="5"/>
      <c r="F6" s="3"/>
    </row>
    <row r="7" customFormat="false" ht="21.75" hidden="false" customHeight="true" outlineLevel="0" collapsed="false">
      <c r="A7" s="3" t="s">
        <v>368</v>
      </c>
      <c r="B7" s="7" t="s">
        <v>369</v>
      </c>
      <c r="C7" s="5" t="s">
        <v>370</v>
      </c>
      <c r="D7" s="3" t="s">
        <v>371</v>
      </c>
      <c r="E7" s="5"/>
      <c r="F7" s="3"/>
    </row>
    <row r="8" customFormat="false" ht="21.75" hidden="false" customHeight="true" outlineLevel="0" collapsed="false">
      <c r="A8" s="3" t="s">
        <v>372</v>
      </c>
      <c r="B8" s="7" t="s">
        <v>373</v>
      </c>
      <c r="C8" s="5" t="s">
        <v>374</v>
      </c>
      <c r="D8" s="3" t="s">
        <v>375</v>
      </c>
      <c r="E8" s="5"/>
      <c r="F8" s="3"/>
    </row>
    <row r="9" customFormat="false" ht="21.75" hidden="false" customHeight="true" outlineLevel="0" collapsed="false">
      <c r="A9" s="3"/>
      <c r="B9" s="4"/>
      <c r="C9" s="5"/>
      <c r="D9" s="3"/>
      <c r="E9" s="5"/>
      <c r="F9" s="3"/>
    </row>
    <row r="10" customFormat="false" ht="24.75" hidden="false" customHeight="true" outlineLevel="0" collapsed="false">
      <c r="A10" s="6" t="s">
        <v>376</v>
      </c>
      <c r="B10" s="6"/>
      <c r="C10" s="6"/>
      <c r="D10" s="6"/>
      <c r="E10" s="6"/>
      <c r="F10" s="6"/>
    </row>
    <row r="11" customFormat="false" ht="21.75" hidden="false" customHeight="true" outlineLevel="0" collapsed="false">
      <c r="A11" s="3" t="s">
        <v>377</v>
      </c>
      <c r="B11" s="7" t="s">
        <v>378</v>
      </c>
      <c r="C11" s="5" t="s">
        <v>379</v>
      </c>
      <c r="D11" s="3" t="s">
        <v>380</v>
      </c>
      <c r="E11" s="5"/>
      <c r="F11" s="3"/>
    </row>
    <row r="12" customFormat="false" ht="21.75" hidden="false" customHeight="true" outlineLevel="0" collapsed="false">
      <c r="A12" s="3" t="s">
        <v>381</v>
      </c>
      <c r="B12" s="7" t="s">
        <v>382</v>
      </c>
      <c r="C12" s="5" t="s">
        <v>383</v>
      </c>
      <c r="D12" s="3" t="s">
        <v>384</v>
      </c>
      <c r="E12" s="5"/>
      <c r="F12" s="3"/>
    </row>
    <row r="13" customFormat="false" ht="21.75" hidden="false" customHeight="true" outlineLevel="0" collapsed="false">
      <c r="A13" s="3" t="s">
        <v>385</v>
      </c>
      <c r="B13" s="7" t="s">
        <v>386</v>
      </c>
      <c r="C13" s="5" t="s">
        <v>387</v>
      </c>
      <c r="D13" s="3" t="s">
        <v>388</v>
      </c>
      <c r="E13" s="5"/>
      <c r="F13" s="3"/>
    </row>
    <row r="14" customFormat="false" ht="21.75" hidden="false" customHeight="true" outlineLevel="0" collapsed="false">
      <c r="A14" s="3" t="s">
        <v>389</v>
      </c>
      <c r="B14" s="7" t="s">
        <v>390</v>
      </c>
      <c r="C14" s="5" t="s">
        <v>391</v>
      </c>
      <c r="D14" s="3" t="s">
        <v>392</v>
      </c>
      <c r="E14" s="5"/>
      <c r="F14" s="3"/>
    </row>
    <row r="15" customFormat="false" ht="21.75" hidden="false" customHeight="true" outlineLevel="0" collapsed="false">
      <c r="A15" s="3" t="s">
        <v>393</v>
      </c>
      <c r="B15" s="7" t="s">
        <v>394</v>
      </c>
      <c r="C15" s="5" t="s">
        <v>395</v>
      </c>
      <c r="D15" s="3" t="s">
        <v>396</v>
      </c>
      <c r="E15" s="5"/>
      <c r="F15" s="3"/>
    </row>
    <row r="16" customFormat="false" ht="21.75" hidden="false" customHeight="true" outlineLevel="0" collapsed="false">
      <c r="A16" s="3"/>
      <c r="B16" s="4"/>
      <c r="C16" s="5"/>
      <c r="D16" s="3"/>
      <c r="E16" s="5"/>
      <c r="F16" s="3"/>
    </row>
    <row r="17" customFormat="false" ht="24.75" hidden="false" customHeight="true" outlineLevel="0" collapsed="false">
      <c r="A17" s="6" t="s">
        <v>397</v>
      </c>
      <c r="B17" s="6"/>
      <c r="C17" s="6"/>
      <c r="D17" s="6"/>
      <c r="E17" s="6"/>
      <c r="F17" s="6"/>
    </row>
    <row r="18" customFormat="false" ht="21.75" hidden="false" customHeight="true" outlineLevel="0" collapsed="false">
      <c r="A18" s="30" t="s">
        <v>398</v>
      </c>
      <c r="B18" s="31" t="s">
        <v>399</v>
      </c>
      <c r="C18" s="32" t="s">
        <v>400</v>
      </c>
      <c r="D18" s="30" t="s">
        <v>401</v>
      </c>
      <c r="E18" s="32" t="s">
        <v>402</v>
      </c>
      <c r="F18" s="30" t="s">
        <v>403</v>
      </c>
    </row>
    <row r="19" customFormat="false" ht="21.75" hidden="false" customHeight="true" outlineLevel="0" collapsed="false">
      <c r="A19" s="3" t="s">
        <v>404</v>
      </c>
      <c r="B19" s="4" t="s">
        <v>405</v>
      </c>
      <c r="C19" s="5" t="s">
        <v>406</v>
      </c>
      <c r="D19" s="3" t="s">
        <v>407</v>
      </c>
      <c r="E19" s="5" t="s">
        <v>408</v>
      </c>
      <c r="F19" s="3" t="s">
        <v>409</v>
      </c>
    </row>
    <row r="20" customFormat="false" ht="21.75" hidden="false" customHeight="true" outlineLevel="0" collapsed="false">
      <c r="A20" s="3" t="s">
        <v>410</v>
      </c>
      <c r="B20" s="4" t="s">
        <v>411</v>
      </c>
      <c r="C20" s="5" t="s">
        <v>412</v>
      </c>
      <c r="D20" s="3" t="s">
        <v>413</v>
      </c>
      <c r="E20" s="5" t="s">
        <v>414</v>
      </c>
      <c r="F20" s="3" t="s">
        <v>415</v>
      </c>
    </row>
    <row r="21" customFormat="false" ht="21.75" hidden="false" customHeight="true" outlineLevel="0" collapsed="false">
      <c r="A21" s="3" t="s">
        <v>416</v>
      </c>
      <c r="B21" s="4" t="s">
        <v>417</v>
      </c>
      <c r="C21" s="5" t="s">
        <v>418</v>
      </c>
      <c r="D21" s="3" t="s">
        <v>419</v>
      </c>
      <c r="E21" s="5" t="s">
        <v>420</v>
      </c>
      <c r="F21" s="3" t="s">
        <v>421</v>
      </c>
    </row>
    <row r="22" customFormat="false" ht="21.75" hidden="false" customHeight="true" outlineLevel="0" collapsed="false">
      <c r="A22" s="3" t="s">
        <v>422</v>
      </c>
      <c r="B22" s="4" t="s">
        <v>423</v>
      </c>
      <c r="C22" s="5" t="s">
        <v>424</v>
      </c>
      <c r="D22" s="3" t="s">
        <v>425</v>
      </c>
      <c r="E22" s="5" t="s">
        <v>426</v>
      </c>
      <c r="F22" s="3" t="s">
        <v>427</v>
      </c>
    </row>
    <row r="23" customFormat="false" ht="21.75" hidden="false" customHeight="true" outlineLevel="0" collapsed="false">
      <c r="A23" s="3"/>
      <c r="B23" s="4"/>
      <c r="C23" s="5"/>
      <c r="D23" s="3"/>
      <c r="E23" s="5"/>
      <c r="F23" s="3"/>
    </row>
    <row r="24" customFormat="false" ht="21.75" hidden="false" customHeight="true" outlineLevel="0" collapsed="false">
      <c r="A24" s="3"/>
      <c r="B24" s="4"/>
      <c r="C24" s="5"/>
      <c r="D24" s="3"/>
      <c r="E24" s="5"/>
      <c r="F24" s="3"/>
    </row>
    <row r="25" customFormat="false" ht="24.75" hidden="false" customHeight="true" outlineLevel="0" collapsed="false">
      <c r="A25" s="6" t="s">
        <v>428</v>
      </c>
      <c r="B25" s="6"/>
      <c r="C25" s="6"/>
      <c r="D25" s="6"/>
      <c r="E25" s="6"/>
      <c r="F25" s="6"/>
    </row>
    <row r="26" customFormat="false" ht="27.75" hidden="false" customHeight="true" outlineLevel="0" collapsed="false">
      <c r="A26" s="3" t="s">
        <v>429</v>
      </c>
      <c r="B26" s="3"/>
      <c r="C26" s="3"/>
      <c r="D26" s="3"/>
      <c r="E26" s="3"/>
      <c r="F26" s="3"/>
    </row>
    <row r="27" customFormat="false" ht="27.75" hidden="false" customHeight="true" outlineLevel="0" collapsed="false">
      <c r="A27" s="3" t="s">
        <v>430</v>
      </c>
      <c r="B27" s="3"/>
      <c r="C27" s="3"/>
      <c r="D27" s="3"/>
      <c r="E27" s="3"/>
      <c r="F27" s="3"/>
    </row>
    <row r="28" customFormat="false" ht="27.75" hidden="false" customHeight="true" outlineLevel="0" collapsed="false">
      <c r="A28" s="3" t="s">
        <v>431</v>
      </c>
      <c r="B28" s="3"/>
      <c r="C28" s="3"/>
      <c r="D28" s="3"/>
      <c r="E28" s="3"/>
      <c r="F28" s="3"/>
    </row>
    <row r="29" customFormat="false" ht="21.75" hidden="false" customHeight="true" outlineLevel="0" collapsed="false">
      <c r="A29" s="3"/>
      <c r="B29" s="4"/>
      <c r="C29" s="5"/>
      <c r="D29" s="3"/>
      <c r="E29" s="5"/>
      <c r="F29" s="3"/>
    </row>
    <row r="30" customFormat="false" ht="24.75" hidden="false" customHeight="true" outlineLevel="0" collapsed="false">
      <c r="A30" s="6" t="s">
        <v>432</v>
      </c>
      <c r="B30" s="6"/>
      <c r="C30" s="6"/>
      <c r="D30" s="6"/>
      <c r="E30" s="6"/>
      <c r="F30" s="6"/>
    </row>
    <row r="31" customFormat="false" ht="21.75" hidden="false" customHeight="true" outlineLevel="0" collapsed="false">
      <c r="A31" s="3" t="s">
        <v>433</v>
      </c>
      <c r="B31" s="4" t="s">
        <v>434</v>
      </c>
      <c r="C31" s="4"/>
      <c r="D31" s="4"/>
      <c r="E31" s="4"/>
      <c r="F31" s="4"/>
    </row>
    <row r="32" customFormat="false" ht="21.75" hidden="false" customHeight="true" outlineLevel="0" collapsed="false">
      <c r="A32" s="3" t="s">
        <v>435</v>
      </c>
      <c r="B32" s="4" t="s">
        <v>436</v>
      </c>
      <c r="C32" s="4"/>
      <c r="D32" s="4"/>
      <c r="E32" s="4"/>
      <c r="F32" s="4"/>
    </row>
    <row r="33" customFormat="false" ht="21.75" hidden="false" customHeight="true" outlineLevel="0" collapsed="false">
      <c r="A33" s="3" t="s">
        <v>437</v>
      </c>
      <c r="B33" s="4" t="s">
        <v>438</v>
      </c>
      <c r="C33" s="4"/>
      <c r="D33" s="4"/>
      <c r="E33" s="4"/>
      <c r="F33" s="4"/>
    </row>
    <row r="34" customFormat="false" ht="21.75" hidden="false" customHeight="true" outlineLevel="0" collapsed="false">
      <c r="A34" s="3" t="s">
        <v>439</v>
      </c>
      <c r="B34" s="4" t="s">
        <v>440</v>
      </c>
      <c r="C34" s="4"/>
      <c r="D34" s="4"/>
      <c r="E34" s="4"/>
      <c r="F34" s="4"/>
    </row>
    <row r="35" customFormat="false" ht="21.75" hidden="false" customHeight="true" outlineLevel="0" collapsed="false">
      <c r="A35" s="3" t="s">
        <v>441</v>
      </c>
      <c r="B35" s="4" t="s">
        <v>442</v>
      </c>
      <c r="C35" s="4"/>
      <c r="D35" s="4"/>
      <c r="E35" s="4"/>
      <c r="F35" s="4"/>
    </row>
    <row r="36" customFormat="false" ht="21.75" hidden="false" customHeight="true" outlineLevel="0" collapsed="false">
      <c r="A36" s="3"/>
      <c r="B36" s="4"/>
      <c r="C36" s="5"/>
      <c r="D36" s="3"/>
      <c r="E36" s="5"/>
      <c r="F36" s="3"/>
    </row>
    <row r="37" customFormat="false" ht="24.75" hidden="false" customHeight="true" outlineLevel="0" collapsed="false">
      <c r="A37" s="6" t="s">
        <v>443</v>
      </c>
      <c r="B37" s="6"/>
      <c r="C37" s="6"/>
      <c r="D37" s="6"/>
      <c r="E37" s="6"/>
      <c r="F37" s="6"/>
    </row>
    <row r="38" customFormat="false" ht="21.75" hidden="false" customHeight="true" outlineLevel="0" collapsed="false">
      <c r="A38" s="3" t="s">
        <v>444</v>
      </c>
      <c r="B38" s="11" t="n">
        <f aca="false">6_Benchmarks!B15</f>
        <v>0.99</v>
      </c>
      <c r="C38" s="5" t="s">
        <v>445</v>
      </c>
      <c r="D38" s="3" t="s">
        <v>446</v>
      </c>
      <c r="E38" s="5"/>
      <c r="F38" s="3" t="s">
        <v>447</v>
      </c>
    </row>
    <row r="39" customFormat="false" ht="21.75" hidden="false" customHeight="true" outlineLevel="0" collapsed="false">
      <c r="A39" s="3" t="s">
        <v>448</v>
      </c>
      <c r="B39" s="11" t="n">
        <f aca="false">6_Benchmarks!B16</f>
        <v>0.1</v>
      </c>
      <c r="C39" s="5" t="s">
        <v>445</v>
      </c>
      <c r="D39" s="3" t="s">
        <v>446</v>
      </c>
      <c r="E39" s="5"/>
      <c r="F39" s="3" t="s">
        <v>449</v>
      </c>
    </row>
    <row r="40" customFormat="false" ht="21.75" hidden="false" customHeight="true" outlineLevel="0" collapsed="false">
      <c r="A40" s="3"/>
      <c r="B40" s="4"/>
      <c r="C40" s="5"/>
      <c r="D40" s="3"/>
      <c r="E40" s="5"/>
      <c r="F40" s="3"/>
    </row>
    <row r="41" customFormat="false" ht="21.75" hidden="false" customHeight="true" outlineLevel="0" collapsed="false">
      <c r="A41" s="3" t="s">
        <v>450</v>
      </c>
      <c r="B41" s="21" t="n">
        <f aca="false">B38*6_Benchmarks!B12</f>
        <v>25928.1</v>
      </c>
      <c r="C41" s="5" t="s">
        <v>451</v>
      </c>
      <c r="D41" s="3" t="s">
        <v>452</v>
      </c>
      <c r="E41" s="5"/>
      <c r="F41" s="3"/>
    </row>
    <row r="42" customFormat="false" ht="21.75" hidden="false" customHeight="true" outlineLevel="0" collapsed="false">
      <c r="A42" s="3" t="s">
        <v>453</v>
      </c>
      <c r="B42" s="21" t="n">
        <f aca="false">B39*6_Benchmarks!B12</f>
        <v>2619</v>
      </c>
      <c r="C42" s="5" t="s">
        <v>451</v>
      </c>
      <c r="D42" s="3" t="s">
        <v>452</v>
      </c>
      <c r="E42" s="5"/>
      <c r="F42" s="3"/>
    </row>
    <row r="43" customFormat="false" ht="21.75" hidden="false" customHeight="true" outlineLevel="0" collapsed="false">
      <c r="A43" s="3"/>
      <c r="B43" s="4"/>
      <c r="C43" s="5"/>
      <c r="D43" s="3"/>
      <c r="E43" s="5"/>
      <c r="F43" s="3"/>
    </row>
    <row r="44" customFormat="false" ht="27.75" hidden="false" customHeight="true" outlineLevel="0" collapsed="false">
      <c r="A44" s="16" t="s">
        <v>454</v>
      </c>
      <c r="B44" s="16"/>
      <c r="C44" s="16"/>
      <c r="D44" s="16"/>
      <c r="E44" s="16"/>
      <c r="F44" s="16"/>
    </row>
    <row r="45" customFormat="false" ht="21.75" hidden="false" customHeight="true" outlineLevel="0" collapsed="false">
      <c r="A45" s="3"/>
      <c r="B45" s="4"/>
      <c r="C45" s="5"/>
      <c r="D45" s="3"/>
      <c r="E45" s="5"/>
      <c r="F45" s="3"/>
    </row>
    <row r="46" customFormat="false" ht="21.75" hidden="false" customHeight="true" outlineLevel="0" collapsed="false">
      <c r="A46" s="3"/>
      <c r="B46" s="4"/>
      <c r="C46" s="5"/>
      <c r="D46" s="3"/>
      <c r="E46" s="5"/>
      <c r="F46" s="3"/>
    </row>
    <row r="47" customFormat="false" ht="21.75" hidden="false" customHeight="true" outlineLevel="0" collapsed="false">
      <c r="A47" s="3"/>
      <c r="B47" s="4"/>
      <c r="C47" s="5"/>
      <c r="D47" s="3"/>
      <c r="E47" s="5"/>
      <c r="F47" s="3"/>
    </row>
    <row r="48" customFormat="false" ht="21.75" hidden="false" customHeight="true" outlineLevel="0" collapsed="false">
      <c r="A48" s="3"/>
      <c r="B48" s="4"/>
      <c r="C48" s="5"/>
      <c r="D48" s="3"/>
      <c r="E48" s="5"/>
      <c r="F48" s="3"/>
    </row>
    <row r="49" customFormat="false" ht="21.75" hidden="false" customHeight="true" outlineLevel="0" collapsed="false">
      <c r="A49" s="3"/>
      <c r="B49" s="4"/>
      <c r="C49" s="5"/>
      <c r="D49" s="3"/>
      <c r="E49" s="5"/>
      <c r="F49" s="3"/>
    </row>
    <row r="50" customFormat="false" ht="21.75" hidden="false" customHeight="true" outlineLevel="0" collapsed="false">
      <c r="A50" s="3"/>
      <c r="B50" s="4"/>
      <c r="C50" s="5"/>
      <c r="D50" s="3"/>
      <c r="E50" s="5"/>
      <c r="F50" s="3"/>
    </row>
    <row r="51" customFormat="false" ht="21.75" hidden="false" customHeight="true" outlineLevel="0" collapsed="false">
      <c r="A51" s="3"/>
      <c r="B51" s="4"/>
      <c r="C51" s="5"/>
      <c r="D51" s="3"/>
      <c r="E51" s="5"/>
      <c r="F51" s="3"/>
    </row>
    <row r="52" customFormat="false" ht="21.75" hidden="false" customHeight="true" outlineLevel="0" collapsed="false">
      <c r="A52" s="3"/>
      <c r="B52" s="4"/>
      <c r="C52" s="5"/>
      <c r="D52" s="3"/>
      <c r="E52" s="5"/>
      <c r="F52" s="3"/>
    </row>
    <row r="53" customFormat="false" ht="21.75" hidden="false" customHeight="true" outlineLevel="0" collapsed="false">
      <c r="A53" s="3"/>
      <c r="B53" s="4"/>
      <c r="C53" s="5"/>
      <c r="D53" s="3"/>
      <c r="E53" s="5"/>
      <c r="F53" s="3"/>
    </row>
    <row r="54" customFormat="false" ht="21.75" hidden="false" customHeight="true" outlineLevel="0" collapsed="false">
      <c r="A54" s="3"/>
      <c r="B54" s="4"/>
      <c r="C54" s="5"/>
      <c r="D54" s="3"/>
      <c r="E54" s="5"/>
      <c r="F54" s="3"/>
    </row>
    <row r="55" customFormat="false" ht="21.75" hidden="false" customHeight="true" outlineLevel="0" collapsed="false">
      <c r="A55" s="3"/>
      <c r="B55" s="4"/>
      <c r="C55" s="5"/>
      <c r="D55" s="3"/>
      <c r="E55" s="5"/>
      <c r="F55" s="3"/>
    </row>
    <row r="56" customFormat="false" ht="21.75" hidden="false" customHeight="true" outlineLevel="0" collapsed="false">
      <c r="A56" s="3"/>
      <c r="B56" s="4"/>
      <c r="C56" s="5"/>
      <c r="D56" s="3"/>
      <c r="E56" s="5"/>
      <c r="F56" s="3"/>
    </row>
    <row r="57" customFormat="false" ht="21.75" hidden="false" customHeight="true" outlineLevel="0" collapsed="false">
      <c r="A57" s="3"/>
      <c r="B57" s="4"/>
      <c r="C57" s="5"/>
      <c r="D57" s="3"/>
      <c r="E57" s="5"/>
      <c r="F57" s="3"/>
    </row>
    <row r="58" customFormat="false" ht="21.75" hidden="false" customHeight="true" outlineLevel="0" collapsed="false">
      <c r="A58" s="3"/>
      <c r="B58" s="4"/>
      <c r="C58" s="5"/>
      <c r="D58" s="3"/>
      <c r="E58" s="5"/>
      <c r="F58" s="3"/>
    </row>
    <row r="59" customFormat="false" ht="21.75" hidden="false" customHeight="true" outlineLevel="0" collapsed="false">
      <c r="A59" s="3"/>
      <c r="B59" s="4"/>
      <c r="C59" s="5"/>
      <c r="D59" s="3"/>
      <c r="E59" s="5"/>
      <c r="F59" s="3"/>
    </row>
    <row r="60" customFormat="false" ht="21.75" hidden="false" customHeight="true" outlineLevel="0" collapsed="false">
      <c r="A60" s="3"/>
      <c r="B60" s="4"/>
      <c r="C60" s="5"/>
      <c r="D60" s="3"/>
      <c r="E60" s="5"/>
      <c r="F60" s="3"/>
    </row>
    <row r="61" customFormat="false" ht="21.75" hidden="false" customHeight="true" outlineLevel="0" collapsed="false">
      <c r="A61" s="3"/>
      <c r="B61" s="4"/>
      <c r="C61" s="5"/>
      <c r="D61" s="3"/>
      <c r="E61" s="5"/>
      <c r="F61" s="3"/>
    </row>
    <row r="62" customFormat="false" ht="21.75" hidden="false" customHeight="true" outlineLevel="0" collapsed="false">
      <c r="A62" s="3"/>
      <c r="B62" s="4"/>
      <c r="C62" s="5"/>
      <c r="D62" s="3"/>
      <c r="E62" s="5"/>
      <c r="F62" s="3"/>
    </row>
    <row r="63" customFormat="false" ht="21.75" hidden="false" customHeight="true" outlineLevel="0" collapsed="false">
      <c r="A63" s="3"/>
      <c r="B63" s="4"/>
      <c r="C63" s="5"/>
      <c r="D63" s="3"/>
      <c r="E63" s="5"/>
      <c r="F63" s="3"/>
    </row>
    <row r="64" customFormat="false" ht="21.75" hidden="false" customHeight="true" outlineLevel="0" collapsed="false">
      <c r="A64" s="3"/>
      <c r="B64" s="4"/>
      <c r="C64" s="5"/>
      <c r="D64" s="3"/>
      <c r="E64" s="5"/>
      <c r="F64" s="3"/>
    </row>
    <row r="65" customFormat="false" ht="21.75" hidden="false" customHeight="true" outlineLevel="0" collapsed="false">
      <c r="A65" s="3"/>
      <c r="B65" s="4"/>
      <c r="C65" s="5"/>
      <c r="D65" s="3"/>
      <c r="E65" s="5"/>
      <c r="F65" s="3"/>
    </row>
    <row r="66" customFormat="false" ht="21.75" hidden="false" customHeight="true" outlineLevel="0" collapsed="false">
      <c r="A66" s="3"/>
      <c r="B66" s="4"/>
      <c r="C66" s="5"/>
      <c r="D66" s="3"/>
      <c r="E66" s="5"/>
      <c r="F66" s="3"/>
    </row>
    <row r="67" customFormat="false" ht="21.75" hidden="false" customHeight="true" outlineLevel="0" collapsed="false">
      <c r="A67" s="3"/>
      <c r="B67" s="4"/>
      <c r="C67" s="5"/>
      <c r="D67" s="3"/>
      <c r="E67" s="5"/>
      <c r="F67" s="3"/>
    </row>
    <row r="68" customFormat="false" ht="21.75" hidden="false" customHeight="true" outlineLevel="0" collapsed="false">
      <c r="A68" s="3"/>
      <c r="B68" s="4"/>
      <c r="C68" s="5"/>
      <c r="D68" s="3"/>
      <c r="E68" s="5"/>
      <c r="F68" s="3"/>
    </row>
    <row r="69" customFormat="false" ht="21.75" hidden="false" customHeight="true" outlineLevel="0" collapsed="false">
      <c r="A69" s="3"/>
      <c r="B69" s="4"/>
      <c r="C69" s="5"/>
      <c r="D69" s="3"/>
      <c r="E69" s="5"/>
      <c r="F69" s="3"/>
    </row>
    <row r="70" customFormat="false" ht="21.75" hidden="false" customHeight="true" outlineLevel="0" collapsed="false">
      <c r="A70" s="3"/>
      <c r="B70" s="4"/>
      <c r="C70" s="5"/>
      <c r="D70" s="3"/>
      <c r="E70" s="5"/>
      <c r="F70" s="3"/>
    </row>
    <row r="71" customFormat="false" ht="21.75" hidden="false" customHeight="true" outlineLevel="0" collapsed="false">
      <c r="A71" s="3"/>
      <c r="B71" s="4"/>
      <c r="C71" s="5"/>
      <c r="D71" s="3"/>
      <c r="E71" s="5"/>
      <c r="F71" s="3"/>
    </row>
    <row r="72" customFormat="false" ht="21.75" hidden="false" customHeight="true" outlineLevel="0" collapsed="false">
      <c r="A72" s="3"/>
      <c r="B72" s="4"/>
      <c r="C72" s="5"/>
      <c r="D72" s="3"/>
      <c r="E72" s="5"/>
      <c r="F72" s="3"/>
    </row>
    <row r="73" customFormat="false" ht="21.75" hidden="false" customHeight="true" outlineLevel="0" collapsed="false">
      <c r="A73" s="3"/>
      <c r="B73" s="4"/>
      <c r="C73" s="5"/>
      <c r="D73" s="3"/>
      <c r="E73" s="5"/>
      <c r="F73" s="3"/>
    </row>
    <row r="74" customFormat="false" ht="21.75" hidden="false" customHeight="true" outlineLevel="0" collapsed="false">
      <c r="A74" s="3"/>
      <c r="B74" s="4"/>
      <c r="C74" s="5"/>
      <c r="D74" s="3"/>
      <c r="E74" s="5"/>
      <c r="F74" s="3"/>
    </row>
    <row r="75" customFormat="false" ht="21.75" hidden="false" customHeight="true" outlineLevel="0" collapsed="false">
      <c r="A75" s="3"/>
      <c r="B75" s="4"/>
      <c r="C75" s="5"/>
      <c r="D75" s="3"/>
      <c r="E75" s="5"/>
      <c r="F75" s="3"/>
    </row>
    <row r="76" customFormat="false" ht="21.75" hidden="false" customHeight="true" outlineLevel="0" collapsed="false">
      <c r="A76" s="3"/>
      <c r="B76" s="4"/>
      <c r="C76" s="5"/>
      <c r="D76" s="3"/>
      <c r="E76" s="5"/>
      <c r="F76" s="3"/>
    </row>
    <row r="77" customFormat="false" ht="21.75" hidden="false" customHeight="true" outlineLevel="0" collapsed="false">
      <c r="A77" s="3"/>
      <c r="B77" s="4"/>
      <c r="C77" s="5"/>
      <c r="D77" s="3"/>
      <c r="E77" s="5"/>
      <c r="F77" s="3"/>
    </row>
    <row r="78" customFormat="false" ht="21.75" hidden="false" customHeight="true" outlineLevel="0" collapsed="false">
      <c r="A78" s="3"/>
      <c r="B78" s="4"/>
      <c r="C78" s="5"/>
      <c r="D78" s="3"/>
      <c r="E78" s="5"/>
      <c r="F78" s="3"/>
    </row>
    <row r="79" customFormat="false" ht="21.75" hidden="false" customHeight="true" outlineLevel="0" collapsed="false">
      <c r="A79" s="3"/>
      <c r="B79" s="4"/>
      <c r="C79" s="5"/>
      <c r="D79" s="3"/>
      <c r="E79" s="5"/>
      <c r="F79" s="3"/>
    </row>
    <row r="80" customFormat="false" ht="21.75" hidden="false" customHeight="true" outlineLevel="0" collapsed="false">
      <c r="A80" s="3"/>
      <c r="B80" s="4"/>
      <c r="C80" s="5"/>
      <c r="D80" s="3"/>
      <c r="E80" s="5"/>
      <c r="F80" s="3"/>
    </row>
  </sheetData>
  <mergeCells count="17">
    <mergeCell ref="A1:F2"/>
    <mergeCell ref="A3:F3"/>
    <mergeCell ref="A4:F4"/>
    <mergeCell ref="A10:F10"/>
    <mergeCell ref="A17:F17"/>
    <mergeCell ref="A25:F25"/>
    <mergeCell ref="A26:F26"/>
    <mergeCell ref="A27:F27"/>
    <mergeCell ref="A28:F28"/>
    <mergeCell ref="A30:F30"/>
    <mergeCell ref="B31:F31"/>
    <mergeCell ref="B32:F32"/>
    <mergeCell ref="B33:F33"/>
    <mergeCell ref="B34:F34"/>
    <mergeCell ref="B35:F35"/>
    <mergeCell ref="A37:F37"/>
    <mergeCell ref="A44:F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7"/>
    <col collapsed="false" customWidth="true" hidden="false" outlineLevel="0" max="5" min="5" style="0" width="20"/>
    <col collapsed="false" customWidth="true" hidden="false" outlineLevel="0" max="6" min="6" style="0" width="31"/>
  </cols>
  <sheetData>
    <row r="1" customFormat="false" ht="22.5" hidden="false" customHeight="true" outlineLevel="0" collapsed="false">
      <c r="A1" s="1" t="s">
        <v>455</v>
      </c>
      <c r="B1" s="1"/>
      <c r="C1" s="1"/>
      <c r="D1" s="1"/>
      <c r="E1" s="1"/>
      <c r="F1" s="1"/>
    </row>
    <row r="2" customFormat="false" ht="22.5" hidden="false" customHeight="true" outlineLevel="0" collapsed="false">
      <c r="A2" s="1"/>
      <c r="B2" s="1"/>
      <c r="C2" s="1"/>
      <c r="D2" s="1"/>
      <c r="E2" s="1"/>
      <c r="F2" s="1"/>
    </row>
    <row r="3" customFormat="false" ht="28.5" hidden="false" customHeight="true" outlineLevel="0" collapsed="false">
      <c r="A3" s="2" t="s">
        <v>456</v>
      </c>
      <c r="B3" s="2"/>
      <c r="C3" s="2"/>
      <c r="D3" s="2"/>
      <c r="E3" s="2"/>
      <c r="F3" s="2"/>
    </row>
    <row r="4" customFormat="false" ht="24.75" hidden="false" customHeight="true" outlineLevel="0" collapsed="false">
      <c r="A4" s="6" t="s">
        <v>457</v>
      </c>
      <c r="B4" s="6"/>
      <c r="C4" s="6"/>
      <c r="D4" s="6"/>
      <c r="E4" s="6"/>
      <c r="F4" s="6"/>
    </row>
    <row r="5" customFormat="false" ht="21.75" hidden="false" customHeight="true" outlineLevel="0" collapsed="false">
      <c r="A5" s="3" t="s">
        <v>458</v>
      </c>
      <c r="B5" s="7" t="s">
        <v>459</v>
      </c>
      <c r="C5" s="5" t="s">
        <v>460</v>
      </c>
      <c r="D5" s="3" t="s">
        <v>461</v>
      </c>
      <c r="E5" s="5"/>
      <c r="F5" s="3"/>
    </row>
    <row r="6" customFormat="false" ht="21.75" hidden="false" customHeight="true" outlineLevel="0" collapsed="false">
      <c r="A6" s="3" t="s">
        <v>462</v>
      </c>
      <c r="B6" s="7" t="s">
        <v>463</v>
      </c>
      <c r="C6" s="5" t="s">
        <v>464</v>
      </c>
      <c r="D6" s="3" t="s">
        <v>465</v>
      </c>
      <c r="E6" s="5"/>
      <c r="F6" s="3"/>
    </row>
    <row r="7" customFormat="false" ht="21.75" hidden="false" customHeight="true" outlineLevel="0" collapsed="false">
      <c r="A7" s="3" t="s">
        <v>466</v>
      </c>
      <c r="B7" s="9" t="n">
        <f aca="false">2_Pricing!B16</f>
        <v>4690000</v>
      </c>
      <c r="C7" s="5" t="s">
        <v>29</v>
      </c>
      <c r="D7" s="3" t="s">
        <v>467</v>
      </c>
      <c r="E7" s="5"/>
      <c r="F7" s="3"/>
    </row>
    <row r="8" customFormat="false" ht="21.75" hidden="false" customHeight="true" outlineLevel="0" collapsed="false">
      <c r="A8" s="3" t="s">
        <v>56</v>
      </c>
      <c r="B8" s="10" t="n">
        <f aca="false">2_Pricing!B19</f>
        <v>0.69416591862118</v>
      </c>
      <c r="C8" s="5" t="s">
        <v>34</v>
      </c>
      <c r="D8" s="3" t="s">
        <v>468</v>
      </c>
      <c r="E8" s="5"/>
      <c r="F8" s="3"/>
    </row>
    <row r="9" customFormat="false" ht="21.75" hidden="false" customHeight="true" outlineLevel="0" collapsed="false">
      <c r="A9" s="3" t="s">
        <v>469</v>
      </c>
      <c r="B9" s="7" t="n">
        <v>12</v>
      </c>
      <c r="C9" s="5" t="s">
        <v>470</v>
      </c>
      <c r="D9" s="3" t="s">
        <v>471</v>
      </c>
      <c r="E9" s="5"/>
      <c r="F9" s="3"/>
    </row>
    <row r="10" customFormat="false" ht="21.75" hidden="false" customHeight="true" outlineLevel="0" collapsed="false">
      <c r="A10" s="3" t="s">
        <v>472</v>
      </c>
      <c r="B10" s="21" t="n">
        <f aca="false">B7*B8*B9</f>
        <v>39067657.9</v>
      </c>
      <c r="C10" s="5" t="s">
        <v>473</v>
      </c>
      <c r="D10" s="3" t="s">
        <v>474</v>
      </c>
      <c r="E10" s="5"/>
      <c r="F10" s="3"/>
    </row>
    <row r="11" customFormat="false" ht="21.75" hidden="false" customHeight="true" outlineLevel="0" collapsed="false">
      <c r="A11" s="3" t="s">
        <v>475</v>
      </c>
      <c r="B11" s="21" t="n">
        <f aca="false">B7*12</f>
        <v>56280000</v>
      </c>
      <c r="C11" s="5" t="s">
        <v>476</v>
      </c>
      <c r="D11" s="3" t="s">
        <v>477</v>
      </c>
      <c r="E11" s="5"/>
      <c r="F11" s="3"/>
    </row>
    <row r="12" customFormat="false" ht="21.75" hidden="false" customHeight="true" outlineLevel="0" collapsed="false">
      <c r="A12" s="3" t="s">
        <v>478</v>
      </c>
      <c r="B12" s="23" t="n">
        <v>3000000000</v>
      </c>
      <c r="C12" s="5" t="s">
        <v>476</v>
      </c>
      <c r="D12" s="3" t="s">
        <v>479</v>
      </c>
      <c r="E12" s="5"/>
      <c r="F12" s="3"/>
    </row>
    <row r="13" customFormat="false" ht="21.75" hidden="false" customHeight="true" outlineLevel="0" collapsed="false">
      <c r="A13" s="3" t="s">
        <v>480</v>
      </c>
      <c r="B13" s="7" t="n">
        <v>240</v>
      </c>
      <c r="C13" s="5" t="s">
        <v>481</v>
      </c>
      <c r="D13" s="3" t="s">
        <v>482</v>
      </c>
      <c r="E13" s="5"/>
      <c r="F13" s="3"/>
    </row>
    <row r="14" customFormat="false" ht="21.75" hidden="false" customHeight="true" outlineLevel="0" collapsed="false">
      <c r="A14" s="3" t="s">
        <v>483</v>
      </c>
      <c r="B14" s="37" t="n">
        <f aca="false">B12/B11</f>
        <v>53.3049040511727</v>
      </c>
      <c r="C14" s="5" t="s">
        <v>484</v>
      </c>
      <c r="D14" s="3" t="s">
        <v>485</v>
      </c>
      <c r="E14" s="5"/>
      <c r="F14" s="3"/>
    </row>
    <row r="15" customFormat="false" ht="21.75" hidden="false" customHeight="true" outlineLevel="0" collapsed="false">
      <c r="A15" s="3" t="s">
        <v>486</v>
      </c>
      <c r="B15" s="37" t="n">
        <f aca="false">B14/B13</f>
        <v>0.222103766879886</v>
      </c>
      <c r="C15" s="5" t="s">
        <v>487</v>
      </c>
      <c r="D15" s="3" t="s">
        <v>488</v>
      </c>
      <c r="E15" s="5"/>
      <c r="F15" s="3"/>
    </row>
    <row r="16" customFormat="false" ht="21.75" hidden="false" customHeight="true" outlineLevel="0" collapsed="false">
      <c r="A16" s="3"/>
      <c r="B16" s="4"/>
      <c r="C16" s="5"/>
      <c r="D16" s="3"/>
      <c r="E16" s="5"/>
      <c r="F16" s="3"/>
    </row>
    <row r="17" customFormat="false" ht="24.75" hidden="false" customHeight="true" outlineLevel="0" collapsed="false">
      <c r="A17" s="6" t="s">
        <v>489</v>
      </c>
      <c r="B17" s="6"/>
      <c r="C17" s="6"/>
      <c r="D17" s="6"/>
      <c r="E17" s="6"/>
      <c r="F17" s="6"/>
    </row>
    <row r="18" customFormat="false" ht="21.75" hidden="false" customHeight="true" outlineLevel="0" collapsed="false">
      <c r="A18" s="3" t="s">
        <v>490</v>
      </c>
      <c r="B18" s="23" t="n">
        <v>8000000</v>
      </c>
      <c r="C18" s="5" t="s">
        <v>491</v>
      </c>
      <c r="D18" s="3" t="s">
        <v>492</v>
      </c>
      <c r="E18" s="5"/>
      <c r="F18" s="3"/>
    </row>
    <row r="19" customFormat="false" ht="21.75" hidden="false" customHeight="true" outlineLevel="0" collapsed="false">
      <c r="A19" s="3" t="s">
        <v>493</v>
      </c>
      <c r="B19" s="17" t="n">
        <v>0.25</v>
      </c>
      <c r="C19" s="5" t="s">
        <v>34</v>
      </c>
      <c r="D19" s="3" t="s">
        <v>494</v>
      </c>
      <c r="E19" s="5"/>
      <c r="F19" s="3"/>
    </row>
    <row r="20" customFormat="false" ht="21.75" hidden="false" customHeight="true" outlineLevel="0" collapsed="false">
      <c r="A20" s="3" t="s">
        <v>495</v>
      </c>
      <c r="B20" s="21" t="n">
        <f aca="false">B18/B19</f>
        <v>32000000</v>
      </c>
      <c r="C20" s="5" t="s">
        <v>496</v>
      </c>
      <c r="D20" s="3" t="s">
        <v>497</v>
      </c>
      <c r="E20" s="5"/>
      <c r="F20" s="3"/>
    </row>
    <row r="21" customFormat="false" ht="21.75" hidden="false" customHeight="true" outlineLevel="0" collapsed="false">
      <c r="A21" s="3" t="s">
        <v>498</v>
      </c>
      <c r="B21" s="37" t="n">
        <f aca="false">B10/B20</f>
        <v>1.220864309375</v>
      </c>
      <c r="C21" s="5" t="s">
        <v>499</v>
      </c>
      <c r="D21" s="3" t="s">
        <v>500</v>
      </c>
      <c r="E21" s="5"/>
      <c r="F21" s="3"/>
    </row>
    <row r="22" customFormat="false" ht="21.75" hidden="false" customHeight="true" outlineLevel="0" collapsed="false">
      <c r="A22" s="3" t="s">
        <v>501</v>
      </c>
      <c r="B22" s="11" t="n">
        <f aca="false">6_Benchmarks!B17</f>
        <v>6300</v>
      </c>
      <c r="C22" s="5" t="s">
        <v>502</v>
      </c>
      <c r="D22" s="3" t="s">
        <v>503</v>
      </c>
      <c r="E22" s="5"/>
      <c r="F22" s="3"/>
    </row>
    <row r="23" customFormat="false" ht="21.75" hidden="false" customHeight="true" outlineLevel="0" collapsed="false">
      <c r="A23" s="3" t="s">
        <v>504</v>
      </c>
      <c r="B23" s="21" t="n">
        <f aca="false">B22*6_Benchmarks!B12/B19</f>
        <v>659988000</v>
      </c>
      <c r="C23" s="5" t="s">
        <v>496</v>
      </c>
      <c r="D23" s="3" t="s">
        <v>505</v>
      </c>
      <c r="E23" s="5"/>
      <c r="F23" s="3"/>
    </row>
    <row r="24" customFormat="false" ht="21.75" hidden="false" customHeight="true" outlineLevel="0" collapsed="false">
      <c r="A24" s="3" t="s">
        <v>506</v>
      </c>
      <c r="B24" s="37" t="n">
        <f aca="false">B23/B10</f>
        <v>16.8934621494164</v>
      </c>
      <c r="C24" s="5" t="s">
        <v>499</v>
      </c>
      <c r="D24" s="3" t="s">
        <v>507</v>
      </c>
      <c r="E24" s="5"/>
      <c r="F24" s="3"/>
    </row>
    <row r="25" customFormat="false" ht="21.75" hidden="false" customHeight="true" outlineLevel="0" collapsed="false">
      <c r="A25" s="3" t="s">
        <v>508</v>
      </c>
      <c r="B25" s="27" t="str">
        <f aca="false">IF(AND(B20&lt;=B10,B15&lt;=1),"TẠM ĐẠT THEO GIẢ ĐỊNH","KHÔNG ĐẠT")</f>
        <v>TẠM ĐẠT THEO GIẢ ĐỊNH</v>
      </c>
      <c r="C25" s="5" t="s">
        <v>318</v>
      </c>
      <c r="D25" s="3" t="s">
        <v>509</v>
      </c>
      <c r="E25" s="5"/>
      <c r="F25" s="3"/>
    </row>
    <row r="26" customFormat="false" ht="21.75" hidden="false" customHeight="true" outlineLevel="0" collapsed="false">
      <c r="A26" s="3"/>
      <c r="B26" s="4"/>
      <c r="C26" s="5"/>
      <c r="D26" s="3"/>
      <c r="E26" s="5"/>
      <c r="F26" s="3"/>
    </row>
    <row r="27" customFormat="false" ht="21.75" hidden="false" customHeight="true" outlineLevel="0" collapsed="false">
      <c r="A27" s="3"/>
      <c r="B27" s="4"/>
      <c r="C27" s="5"/>
      <c r="D27" s="3"/>
      <c r="E27" s="5"/>
      <c r="F27" s="3"/>
    </row>
    <row r="28" customFormat="false" ht="24.75" hidden="false" customHeight="true" outlineLevel="0" collapsed="false">
      <c r="A28" s="6" t="s">
        <v>510</v>
      </c>
      <c r="B28" s="6"/>
      <c r="C28" s="6"/>
      <c r="D28" s="6"/>
      <c r="E28" s="6"/>
      <c r="F28" s="6"/>
    </row>
    <row r="29" customFormat="false" ht="21.75" hidden="false" customHeight="true" outlineLevel="0" collapsed="false">
      <c r="A29" s="30" t="s">
        <v>511</v>
      </c>
      <c r="B29" s="31" t="s">
        <v>512</v>
      </c>
      <c r="C29" s="32" t="s">
        <v>513</v>
      </c>
      <c r="D29" s="30" t="s">
        <v>514</v>
      </c>
      <c r="E29" s="5"/>
      <c r="F29" s="3"/>
    </row>
    <row r="30" customFormat="false" ht="21.75" hidden="false" customHeight="true" outlineLevel="0" collapsed="false">
      <c r="A30" s="3" t="s">
        <v>515</v>
      </c>
      <c r="B30" s="4" t="n">
        <v>2</v>
      </c>
      <c r="C30" s="5" t="n">
        <v>4</v>
      </c>
      <c r="D30" s="3" t="n">
        <v>3</v>
      </c>
      <c r="E30" s="5"/>
      <c r="F30" s="3"/>
    </row>
    <row r="31" customFormat="false" ht="21.75" hidden="false" customHeight="true" outlineLevel="0" collapsed="false">
      <c r="A31" s="3" t="s">
        <v>516</v>
      </c>
      <c r="B31" s="4" t="n">
        <v>2</v>
      </c>
      <c r="C31" s="5" t="n">
        <v>5</v>
      </c>
      <c r="D31" s="3" t="n">
        <v>4</v>
      </c>
      <c r="E31" s="5"/>
      <c r="F31" s="3"/>
    </row>
    <row r="32" customFormat="false" ht="21.75" hidden="false" customHeight="true" outlineLevel="0" collapsed="false">
      <c r="A32" s="3" t="s">
        <v>517</v>
      </c>
      <c r="B32" s="4" t="n">
        <v>3</v>
      </c>
      <c r="C32" s="5" t="n">
        <v>5</v>
      </c>
      <c r="D32" s="3" t="n">
        <v>2</v>
      </c>
      <c r="E32" s="5"/>
      <c r="F32" s="3"/>
    </row>
    <row r="33" customFormat="false" ht="21.75" hidden="false" customHeight="true" outlineLevel="0" collapsed="false">
      <c r="A33" s="3" t="s">
        <v>518</v>
      </c>
      <c r="B33" s="4" t="n">
        <v>5</v>
      </c>
      <c r="C33" s="5" t="n">
        <v>2</v>
      </c>
      <c r="D33" s="3" t="n">
        <v>4</v>
      </c>
      <c r="E33" s="5"/>
      <c r="F33" s="3"/>
    </row>
    <row r="34" customFormat="false" ht="21.75" hidden="false" customHeight="true" outlineLevel="0" collapsed="false">
      <c r="A34" s="3" t="s">
        <v>519</v>
      </c>
      <c r="B34" s="4" t="n">
        <v>2</v>
      </c>
      <c r="C34" s="5" t="n">
        <v>5</v>
      </c>
      <c r="D34" s="3" t="n">
        <v>3</v>
      </c>
      <c r="E34" s="5"/>
      <c r="F34" s="3"/>
    </row>
    <row r="35" customFormat="false" ht="21.75" hidden="false" customHeight="true" outlineLevel="0" collapsed="false">
      <c r="A35" s="3" t="s">
        <v>520</v>
      </c>
      <c r="B35" s="4" t="n">
        <v>5</v>
      </c>
      <c r="C35" s="5" t="n">
        <v>4</v>
      </c>
      <c r="D35" s="3" t="n">
        <v>1</v>
      </c>
      <c r="E35" s="5"/>
      <c r="F35" s="3"/>
    </row>
    <row r="36" customFormat="false" ht="21.75" hidden="false" customHeight="true" outlineLevel="0" collapsed="false">
      <c r="A36" s="38" t="s">
        <v>521</v>
      </c>
      <c r="B36" s="29" t="n">
        <f aca="false">SUM(B30:B35)</f>
        <v>19</v>
      </c>
      <c r="C36" s="39" t="n">
        <f aca="false">SUM(C30:C35)</f>
        <v>25</v>
      </c>
      <c r="D36" s="38" t="n">
        <f aca="false">SUM(D30:D35)</f>
        <v>17</v>
      </c>
      <c r="E36" s="5"/>
      <c r="F36" s="3"/>
    </row>
    <row r="37" customFormat="false" ht="21.75" hidden="false" customHeight="true" outlineLevel="0" collapsed="false">
      <c r="A37" s="3"/>
      <c r="B37" s="4"/>
      <c r="C37" s="5"/>
      <c r="D37" s="3"/>
      <c r="E37" s="5"/>
      <c r="F37" s="3"/>
    </row>
    <row r="38" customFormat="false" ht="21.75" hidden="false" customHeight="true" outlineLevel="0" collapsed="false">
      <c r="A38" s="3"/>
      <c r="B38" s="4"/>
      <c r="C38" s="5"/>
      <c r="D38" s="3"/>
      <c r="E38" s="5"/>
      <c r="F38" s="3"/>
    </row>
    <row r="39" customFormat="false" ht="24.75" hidden="false" customHeight="true" outlineLevel="0" collapsed="false">
      <c r="A39" s="6" t="s">
        <v>522</v>
      </c>
      <c r="B39" s="6"/>
      <c r="C39" s="6"/>
      <c r="D39" s="6"/>
      <c r="E39" s="6"/>
      <c r="F39" s="6"/>
    </row>
    <row r="40" customFormat="false" ht="21.75" hidden="false" customHeight="true" outlineLevel="0" collapsed="false">
      <c r="A40" s="3" t="s">
        <v>523</v>
      </c>
      <c r="B40" s="4" t="s">
        <v>524</v>
      </c>
      <c r="C40" s="4"/>
      <c r="D40" s="4"/>
      <c r="E40" s="4"/>
      <c r="F40" s="4"/>
    </row>
    <row r="41" customFormat="false" ht="21.75" hidden="false" customHeight="true" outlineLevel="0" collapsed="false">
      <c r="A41" s="3" t="s">
        <v>525</v>
      </c>
      <c r="B41" s="4" t="s">
        <v>526</v>
      </c>
      <c r="C41" s="4"/>
      <c r="D41" s="4"/>
      <c r="E41" s="4"/>
      <c r="F41" s="4"/>
    </row>
    <row r="42" customFormat="false" ht="21.75" hidden="false" customHeight="true" outlineLevel="0" collapsed="false">
      <c r="A42" s="3" t="s">
        <v>527</v>
      </c>
      <c r="B42" s="4" t="s">
        <v>528</v>
      </c>
      <c r="C42" s="4"/>
      <c r="D42" s="4"/>
      <c r="E42" s="4"/>
      <c r="F42" s="4"/>
    </row>
    <row r="43" customFormat="false" ht="21.75" hidden="false" customHeight="true" outlineLevel="0" collapsed="false">
      <c r="A43" s="3" t="s">
        <v>529</v>
      </c>
      <c r="B43" s="4" t="s">
        <v>530</v>
      </c>
      <c r="C43" s="4"/>
      <c r="D43" s="4"/>
      <c r="E43" s="4"/>
      <c r="F43" s="4"/>
    </row>
    <row r="44" customFormat="false" ht="21.75" hidden="false" customHeight="true" outlineLevel="0" collapsed="false">
      <c r="A44" s="3" t="s">
        <v>531</v>
      </c>
      <c r="B44" s="4" t="s">
        <v>532</v>
      </c>
      <c r="C44" s="4"/>
      <c r="D44" s="4"/>
      <c r="E44" s="4"/>
      <c r="F44" s="4"/>
    </row>
    <row r="45" customFormat="false" ht="21.75" hidden="false" customHeight="true" outlineLevel="0" collapsed="false">
      <c r="A45" s="3" t="s">
        <v>533</v>
      </c>
      <c r="B45" s="4" t="s">
        <v>534</v>
      </c>
      <c r="C45" s="4"/>
      <c r="D45" s="4"/>
      <c r="E45" s="4"/>
      <c r="F45" s="4"/>
    </row>
    <row r="46" customFormat="false" ht="21.75" hidden="false" customHeight="true" outlineLevel="0" collapsed="false">
      <c r="A46" s="3"/>
      <c r="B46" s="4"/>
      <c r="C46" s="5"/>
      <c r="D46" s="3"/>
      <c r="E46" s="5"/>
      <c r="F46" s="3"/>
    </row>
    <row r="47" customFormat="false" ht="21.75" hidden="false" customHeight="true" outlineLevel="0" collapsed="false">
      <c r="A47" s="3"/>
      <c r="B47" s="4"/>
      <c r="C47" s="5"/>
      <c r="D47" s="3"/>
      <c r="E47" s="5"/>
      <c r="F47" s="3"/>
    </row>
    <row r="48" customFormat="false" ht="27.75" hidden="false" customHeight="true" outlineLevel="0" collapsed="false">
      <c r="A48" s="16" t="s">
        <v>535</v>
      </c>
      <c r="B48" s="16"/>
      <c r="C48" s="16"/>
      <c r="D48" s="16"/>
      <c r="E48" s="16"/>
      <c r="F48" s="16"/>
    </row>
    <row r="49" customFormat="false" ht="21.75" hidden="false" customHeight="true" outlineLevel="0" collapsed="false">
      <c r="A49" s="3"/>
      <c r="B49" s="4"/>
      <c r="C49" s="5"/>
      <c r="D49" s="3"/>
      <c r="E49" s="5"/>
      <c r="F49" s="3"/>
    </row>
    <row r="50" customFormat="false" ht="21.75" hidden="false" customHeight="true" outlineLevel="0" collapsed="false">
      <c r="A50" s="3"/>
      <c r="B50" s="4"/>
      <c r="C50" s="5"/>
      <c r="D50" s="3"/>
      <c r="E50" s="5"/>
      <c r="F50" s="3"/>
    </row>
    <row r="51" customFormat="false" ht="21.75" hidden="false" customHeight="true" outlineLevel="0" collapsed="false">
      <c r="A51" s="3"/>
      <c r="B51" s="4"/>
      <c r="C51" s="5"/>
      <c r="D51" s="3"/>
      <c r="E51" s="5"/>
      <c r="F51" s="3"/>
    </row>
    <row r="52" customFormat="false" ht="21.75" hidden="false" customHeight="true" outlineLevel="0" collapsed="false">
      <c r="A52" s="3"/>
      <c r="B52" s="4"/>
      <c r="C52" s="5"/>
      <c r="D52" s="3"/>
      <c r="E52" s="5"/>
      <c r="F52" s="3"/>
    </row>
    <row r="53" customFormat="false" ht="21.75" hidden="false" customHeight="true" outlineLevel="0" collapsed="false">
      <c r="A53" s="3"/>
      <c r="B53" s="4"/>
      <c r="C53" s="5"/>
      <c r="D53" s="3"/>
      <c r="E53" s="5"/>
      <c r="F53" s="3"/>
    </row>
    <row r="54" customFormat="false" ht="21.75" hidden="false" customHeight="true" outlineLevel="0" collapsed="false">
      <c r="A54" s="3"/>
      <c r="B54" s="4"/>
      <c r="C54" s="5"/>
      <c r="D54" s="3"/>
      <c r="E54" s="5"/>
      <c r="F54" s="3"/>
    </row>
    <row r="55" customFormat="false" ht="21.75" hidden="false" customHeight="true" outlineLevel="0" collapsed="false">
      <c r="A55" s="3"/>
      <c r="B55" s="4"/>
      <c r="C55" s="5"/>
      <c r="D55" s="3"/>
      <c r="E55" s="5"/>
      <c r="F55" s="3"/>
    </row>
    <row r="56" customFormat="false" ht="21.75" hidden="false" customHeight="true" outlineLevel="0" collapsed="false">
      <c r="A56" s="3"/>
      <c r="B56" s="4"/>
      <c r="C56" s="5"/>
      <c r="D56" s="3"/>
      <c r="E56" s="5"/>
      <c r="F56" s="3"/>
    </row>
    <row r="57" customFormat="false" ht="21.75" hidden="false" customHeight="true" outlineLevel="0" collapsed="false">
      <c r="A57" s="3"/>
      <c r="B57" s="4"/>
      <c r="C57" s="5"/>
      <c r="D57" s="3"/>
      <c r="E57" s="5"/>
      <c r="F57" s="3"/>
    </row>
    <row r="58" customFormat="false" ht="21.75" hidden="false" customHeight="true" outlineLevel="0" collapsed="false">
      <c r="A58" s="3"/>
      <c r="B58" s="4"/>
      <c r="C58" s="5"/>
      <c r="D58" s="3"/>
      <c r="E58" s="5"/>
      <c r="F58" s="3"/>
    </row>
    <row r="59" customFormat="false" ht="21.75" hidden="false" customHeight="true" outlineLevel="0" collapsed="false">
      <c r="A59" s="3"/>
      <c r="B59" s="4"/>
      <c r="C59" s="5"/>
      <c r="D59" s="3"/>
      <c r="E59" s="5"/>
      <c r="F59" s="3"/>
    </row>
    <row r="60" customFormat="false" ht="21.75" hidden="false" customHeight="true" outlineLevel="0" collapsed="false">
      <c r="A60" s="3"/>
      <c r="B60" s="4"/>
      <c r="C60" s="5"/>
      <c r="D60" s="3"/>
      <c r="E60" s="5"/>
      <c r="F60" s="3"/>
    </row>
    <row r="61" customFormat="false" ht="21.75" hidden="false" customHeight="true" outlineLevel="0" collapsed="false">
      <c r="A61" s="3"/>
      <c r="B61" s="4"/>
      <c r="C61" s="5"/>
      <c r="D61" s="3"/>
      <c r="E61" s="5"/>
      <c r="F61" s="3"/>
    </row>
    <row r="62" customFormat="false" ht="21.75" hidden="false" customHeight="true" outlineLevel="0" collapsed="false">
      <c r="A62" s="3"/>
      <c r="B62" s="4"/>
      <c r="C62" s="5"/>
      <c r="D62" s="3"/>
      <c r="E62" s="5"/>
      <c r="F62" s="3"/>
    </row>
    <row r="63" customFormat="false" ht="21.75" hidden="false" customHeight="true" outlineLevel="0" collapsed="false">
      <c r="A63" s="3"/>
      <c r="B63" s="4"/>
      <c r="C63" s="5"/>
      <c r="D63" s="3"/>
      <c r="E63" s="5"/>
      <c r="F63" s="3"/>
    </row>
    <row r="64" customFormat="false" ht="21.75" hidden="false" customHeight="true" outlineLevel="0" collapsed="false">
      <c r="A64" s="3"/>
      <c r="B64" s="4"/>
      <c r="C64" s="5"/>
      <c r="D64" s="3"/>
      <c r="E64" s="5"/>
      <c r="F64" s="3"/>
    </row>
    <row r="65" customFormat="false" ht="21.75" hidden="false" customHeight="true" outlineLevel="0" collapsed="false">
      <c r="A65" s="3"/>
      <c r="B65" s="4"/>
      <c r="C65" s="5"/>
      <c r="D65" s="3"/>
      <c r="E65" s="5"/>
      <c r="F65" s="3"/>
    </row>
    <row r="66" customFormat="false" ht="21.75" hidden="false" customHeight="true" outlineLevel="0" collapsed="false">
      <c r="A66" s="3"/>
      <c r="B66" s="4"/>
      <c r="C66" s="5"/>
      <c r="D66" s="3"/>
      <c r="E66" s="5"/>
      <c r="F66" s="3"/>
    </row>
    <row r="67" customFormat="false" ht="21.75" hidden="false" customHeight="true" outlineLevel="0" collapsed="false">
      <c r="A67" s="3"/>
      <c r="B67" s="4"/>
      <c r="C67" s="5"/>
      <c r="D67" s="3"/>
      <c r="E67" s="5"/>
      <c r="F67" s="3"/>
    </row>
    <row r="68" customFormat="false" ht="21.75" hidden="false" customHeight="true" outlineLevel="0" collapsed="false">
      <c r="A68" s="3"/>
      <c r="B68" s="4"/>
      <c r="C68" s="5"/>
      <c r="D68" s="3"/>
      <c r="E68" s="5"/>
      <c r="F68" s="3"/>
    </row>
    <row r="69" customFormat="false" ht="21.75" hidden="false" customHeight="true" outlineLevel="0" collapsed="false">
      <c r="A69" s="3"/>
      <c r="B69" s="4"/>
      <c r="C69" s="5"/>
      <c r="D69" s="3"/>
      <c r="E69" s="5"/>
      <c r="F69" s="3"/>
    </row>
    <row r="70" customFormat="false" ht="21.75" hidden="false" customHeight="true" outlineLevel="0" collapsed="false">
      <c r="A70" s="3"/>
      <c r="B70" s="4"/>
      <c r="C70" s="5"/>
      <c r="D70" s="3"/>
      <c r="E70" s="5"/>
      <c r="F70" s="3"/>
    </row>
    <row r="71" customFormat="false" ht="21.75" hidden="false" customHeight="true" outlineLevel="0" collapsed="false">
      <c r="A71" s="3"/>
      <c r="B71" s="4"/>
      <c r="C71" s="5"/>
      <c r="D71" s="3"/>
      <c r="E71" s="5"/>
      <c r="F71" s="3"/>
    </row>
    <row r="72" customFormat="false" ht="21.75" hidden="false" customHeight="true" outlineLevel="0" collapsed="false">
      <c r="A72" s="3"/>
      <c r="B72" s="4"/>
      <c r="C72" s="5"/>
      <c r="D72" s="3"/>
      <c r="E72" s="5"/>
      <c r="F72" s="3"/>
    </row>
    <row r="73" customFormat="false" ht="21.75" hidden="false" customHeight="true" outlineLevel="0" collapsed="false">
      <c r="A73" s="3"/>
      <c r="B73" s="4"/>
      <c r="C73" s="5"/>
      <c r="D73" s="3"/>
      <c r="E73" s="5"/>
      <c r="F73" s="3"/>
    </row>
    <row r="74" customFormat="false" ht="21.75" hidden="false" customHeight="true" outlineLevel="0" collapsed="false">
      <c r="A74" s="3"/>
      <c r="B74" s="4"/>
      <c r="C74" s="5"/>
      <c r="D74" s="3"/>
      <c r="E74" s="5"/>
      <c r="F74" s="3"/>
    </row>
    <row r="75" customFormat="false" ht="21.75" hidden="false" customHeight="true" outlineLevel="0" collapsed="false">
      <c r="A75" s="3"/>
      <c r="B75" s="4"/>
      <c r="C75" s="5"/>
      <c r="D75" s="3"/>
      <c r="E75" s="5"/>
      <c r="F75" s="3"/>
    </row>
    <row r="76" customFormat="false" ht="21.75" hidden="false" customHeight="true" outlineLevel="0" collapsed="false">
      <c r="A76" s="3"/>
      <c r="B76" s="4"/>
      <c r="C76" s="5"/>
      <c r="D76" s="3"/>
      <c r="E76" s="5"/>
      <c r="F76" s="3"/>
    </row>
    <row r="77" customFormat="false" ht="21.75" hidden="false" customHeight="true" outlineLevel="0" collapsed="false">
      <c r="A77" s="3"/>
      <c r="B77" s="4"/>
      <c r="C77" s="5"/>
      <c r="D77" s="3"/>
      <c r="E77" s="5"/>
      <c r="F77" s="3"/>
    </row>
    <row r="78" customFormat="false" ht="21.75" hidden="false" customHeight="true" outlineLevel="0" collapsed="false">
      <c r="A78" s="3"/>
      <c r="B78" s="4"/>
      <c r="C78" s="5"/>
      <c r="D78" s="3"/>
      <c r="E78" s="5"/>
      <c r="F78" s="3"/>
    </row>
    <row r="79" customFormat="false" ht="21.75" hidden="false" customHeight="true" outlineLevel="0" collapsed="false">
      <c r="A79" s="3"/>
      <c r="B79" s="4"/>
      <c r="C79" s="5"/>
      <c r="D79" s="3"/>
      <c r="E79" s="5"/>
      <c r="F79" s="3"/>
    </row>
    <row r="80" customFormat="false" ht="21.75" hidden="false" customHeight="true" outlineLevel="0" collapsed="false">
      <c r="A80" s="3"/>
      <c r="B80" s="4"/>
      <c r="C80" s="5"/>
      <c r="D80" s="3"/>
      <c r="E80" s="5"/>
      <c r="F80" s="3"/>
    </row>
    <row r="81" customFormat="false" ht="21.75" hidden="false" customHeight="true" outlineLevel="0" collapsed="false">
      <c r="A81" s="5"/>
      <c r="B81" s="5"/>
      <c r="C81" s="5"/>
      <c r="D81" s="5"/>
      <c r="E81" s="5"/>
      <c r="F81" s="5"/>
    </row>
    <row r="82" customFormat="false" ht="21.75" hidden="false" customHeight="true" outlineLevel="0" collapsed="false">
      <c r="A82" s="5"/>
      <c r="B82" s="5"/>
      <c r="C82" s="5"/>
      <c r="D82" s="5"/>
      <c r="E82" s="5"/>
      <c r="F82" s="5"/>
    </row>
    <row r="83" customFormat="false" ht="21.75" hidden="false" customHeight="true" outlineLevel="0" collapsed="false">
      <c r="A83" s="5"/>
      <c r="B83" s="5"/>
      <c r="C83" s="5"/>
      <c r="D83" s="5"/>
      <c r="E83" s="5"/>
      <c r="F83" s="5"/>
    </row>
    <row r="84" customFormat="false" ht="21.75" hidden="false" customHeight="true" outlineLevel="0" collapsed="false">
      <c r="A84" s="5"/>
      <c r="B84" s="5"/>
      <c r="C84" s="5"/>
      <c r="D84" s="5"/>
      <c r="E84" s="5"/>
      <c r="F84" s="5"/>
    </row>
    <row r="85" customFormat="false" ht="21.75" hidden="false" customHeight="true" outlineLevel="0" collapsed="false">
      <c r="A85" s="5"/>
      <c r="B85" s="5"/>
      <c r="C85" s="5"/>
      <c r="D85" s="5"/>
      <c r="E85" s="5"/>
      <c r="F85" s="5"/>
    </row>
    <row r="86" customFormat="false" ht="21.75" hidden="false" customHeight="true" outlineLevel="0" collapsed="false">
      <c r="A86" s="5"/>
      <c r="B86" s="5"/>
      <c r="C86" s="5"/>
      <c r="D86" s="5"/>
      <c r="E86" s="5"/>
      <c r="F86" s="5"/>
    </row>
    <row r="87" customFormat="false" ht="21.75" hidden="false" customHeight="true" outlineLevel="0" collapsed="false">
      <c r="A87" s="5"/>
      <c r="B87" s="5"/>
      <c r="C87" s="5"/>
      <c r="D87" s="5"/>
      <c r="E87" s="5"/>
      <c r="F87" s="5"/>
    </row>
    <row r="88" customFormat="false" ht="21.75" hidden="false" customHeight="true" outlineLevel="0" collapsed="false">
      <c r="A88" s="5"/>
      <c r="B88" s="5"/>
      <c r="C88" s="5"/>
      <c r="D88" s="5"/>
      <c r="E88" s="5"/>
      <c r="F88" s="5"/>
    </row>
    <row r="89" customFormat="false" ht="21.75" hidden="false" customHeight="true" outlineLevel="0" collapsed="false">
      <c r="A89" s="5"/>
      <c r="B89" s="5"/>
      <c r="C89" s="5"/>
      <c r="D89" s="5"/>
      <c r="E89" s="5"/>
      <c r="F89" s="5"/>
    </row>
    <row r="90" customFormat="false" ht="21.75" hidden="false" customHeight="true" outlineLevel="0" collapsed="false">
      <c r="A90" s="5"/>
      <c r="B90" s="5"/>
      <c r="C90" s="5"/>
      <c r="D90" s="5"/>
      <c r="E90" s="5"/>
      <c r="F90" s="5"/>
    </row>
    <row r="91" customFormat="false" ht="21.75" hidden="false" customHeight="true" outlineLevel="0" collapsed="false">
      <c r="A91" s="5"/>
      <c r="B91" s="5"/>
      <c r="C91" s="5"/>
      <c r="D91" s="5"/>
      <c r="E91" s="5"/>
      <c r="F91" s="5"/>
    </row>
    <row r="92" customFormat="false" ht="21.75" hidden="false" customHeight="true" outlineLevel="0" collapsed="false">
      <c r="A92" s="5"/>
      <c r="B92" s="5"/>
      <c r="C92" s="5"/>
      <c r="D92" s="5"/>
      <c r="E92" s="5"/>
      <c r="F92" s="5"/>
    </row>
    <row r="93" customFormat="false" ht="21.75" hidden="false" customHeight="true" outlineLevel="0" collapsed="false">
      <c r="A93" s="5"/>
      <c r="B93" s="5"/>
      <c r="C93" s="5"/>
      <c r="D93" s="5"/>
      <c r="E93" s="5"/>
      <c r="F93" s="5"/>
    </row>
    <row r="94" customFormat="false" ht="21.75" hidden="false" customHeight="true" outlineLevel="0" collapsed="false">
      <c r="A94" s="5"/>
      <c r="B94" s="5"/>
      <c r="C94" s="5"/>
      <c r="D94" s="5"/>
      <c r="E94" s="5"/>
      <c r="F94" s="5"/>
    </row>
    <row r="95" customFormat="false" ht="21.75" hidden="false" customHeight="true" outlineLevel="0" collapsed="false">
      <c r="A95" s="5"/>
      <c r="B95" s="5"/>
      <c r="C95" s="5"/>
      <c r="D95" s="5"/>
      <c r="E95" s="5"/>
      <c r="F95" s="5"/>
    </row>
  </sheetData>
  <mergeCells count="13">
    <mergeCell ref="A1:F2"/>
    <mergeCell ref="A3:F3"/>
    <mergeCell ref="A4:F4"/>
    <mergeCell ref="A17:F17"/>
    <mergeCell ref="A28:F28"/>
    <mergeCell ref="A39:F39"/>
    <mergeCell ref="B40:F40"/>
    <mergeCell ref="B41:F41"/>
    <mergeCell ref="B42:F42"/>
    <mergeCell ref="B43:F43"/>
    <mergeCell ref="B44:F44"/>
    <mergeCell ref="B45:F45"/>
    <mergeCell ref="A48:F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7"/>
    <col collapsed="false" customWidth="true" hidden="false" outlineLevel="0" max="5" min="5" style="0" width="20"/>
    <col collapsed="false" customWidth="true" hidden="false" outlineLevel="0" max="6" min="6" style="0" width="31"/>
  </cols>
  <sheetData>
    <row r="1" customFormat="false" ht="22.5" hidden="false" customHeight="true" outlineLevel="0" collapsed="false">
      <c r="A1" s="1" t="s">
        <v>536</v>
      </c>
      <c r="B1" s="1"/>
      <c r="C1" s="1"/>
      <c r="D1" s="1"/>
      <c r="E1" s="1"/>
      <c r="F1" s="1"/>
    </row>
    <row r="2" customFormat="false" ht="22.5" hidden="false" customHeight="true" outlineLevel="0" collapsed="false">
      <c r="A2" s="1"/>
      <c r="B2" s="1"/>
      <c r="C2" s="1"/>
      <c r="D2" s="1"/>
      <c r="E2" s="1"/>
      <c r="F2" s="1"/>
    </row>
    <row r="3" customFormat="false" ht="28.5" hidden="false" customHeight="true" outlineLevel="0" collapsed="false">
      <c r="A3" s="2" t="s">
        <v>537</v>
      </c>
      <c r="B3" s="2"/>
      <c r="C3" s="2"/>
      <c r="D3" s="2"/>
      <c r="E3" s="2"/>
      <c r="F3" s="2"/>
    </row>
    <row r="4" customFormat="false" ht="24.75" hidden="false" customHeight="true" outlineLevel="0" collapsed="false">
      <c r="A4" s="6" t="s">
        <v>538</v>
      </c>
      <c r="B4" s="6"/>
      <c r="C4" s="6"/>
      <c r="D4" s="6"/>
      <c r="E4" s="6"/>
      <c r="F4" s="6"/>
    </row>
    <row r="5" customFormat="false" ht="28.5" hidden="false" customHeight="true" outlineLevel="0" collapsed="false">
      <c r="A5" s="30" t="s">
        <v>539</v>
      </c>
      <c r="B5" s="31" t="s">
        <v>540</v>
      </c>
      <c r="C5" s="32" t="s">
        <v>541</v>
      </c>
      <c r="D5" s="30" t="s">
        <v>542</v>
      </c>
      <c r="E5" s="32" t="s">
        <v>543</v>
      </c>
      <c r="F5" s="30" t="s">
        <v>544</v>
      </c>
    </row>
    <row r="6" customFormat="false" ht="43.5" hidden="false" customHeight="true" outlineLevel="0" collapsed="false">
      <c r="A6" s="3" t="s">
        <v>545</v>
      </c>
      <c r="B6" s="4" t="s">
        <v>546</v>
      </c>
      <c r="C6" s="5" t="s">
        <v>547</v>
      </c>
      <c r="D6" s="3" t="s">
        <v>548</v>
      </c>
      <c r="E6" s="5" t="s">
        <v>549</v>
      </c>
      <c r="F6" s="3" t="s">
        <v>550</v>
      </c>
    </row>
    <row r="7" customFormat="false" ht="43.5" hidden="false" customHeight="true" outlineLevel="0" collapsed="false">
      <c r="A7" s="3" t="s">
        <v>551</v>
      </c>
      <c r="B7" s="4" t="s">
        <v>552</v>
      </c>
      <c r="C7" s="5" t="s">
        <v>553</v>
      </c>
      <c r="D7" s="3" t="s">
        <v>554</v>
      </c>
      <c r="E7" s="5" t="s">
        <v>555</v>
      </c>
      <c r="F7" s="3" t="s">
        <v>550</v>
      </c>
    </row>
    <row r="8" customFormat="false" ht="43.5" hidden="false" customHeight="true" outlineLevel="0" collapsed="false">
      <c r="A8" s="3" t="s">
        <v>556</v>
      </c>
      <c r="B8" s="4" t="s">
        <v>557</v>
      </c>
      <c r="C8" s="5" t="s">
        <v>558</v>
      </c>
      <c r="D8" s="3" t="s">
        <v>559</v>
      </c>
      <c r="E8" s="5" t="s">
        <v>560</v>
      </c>
      <c r="F8" s="3" t="s">
        <v>550</v>
      </c>
    </row>
    <row r="9" customFormat="false" ht="21.75" hidden="false" customHeight="true" outlineLevel="0" collapsed="false">
      <c r="A9" s="3"/>
      <c r="B9" s="4"/>
      <c r="C9" s="5"/>
      <c r="D9" s="3"/>
      <c r="E9" s="5"/>
      <c r="F9" s="3"/>
    </row>
    <row r="10" customFormat="false" ht="21.75" hidden="false" customHeight="true" outlineLevel="0" collapsed="false">
      <c r="A10" s="3"/>
      <c r="B10" s="4"/>
      <c r="C10" s="5"/>
      <c r="D10" s="3"/>
      <c r="E10" s="5"/>
      <c r="F10" s="3"/>
    </row>
    <row r="11" customFormat="false" ht="24.75" hidden="false" customHeight="true" outlineLevel="0" collapsed="false">
      <c r="A11" s="6" t="s">
        <v>561</v>
      </c>
      <c r="B11" s="6"/>
      <c r="C11" s="6"/>
      <c r="D11" s="6"/>
      <c r="E11" s="6"/>
      <c r="F11" s="6"/>
    </row>
    <row r="12" customFormat="false" ht="21.75" hidden="false" customHeight="true" outlineLevel="0" collapsed="false">
      <c r="A12" s="30" t="s">
        <v>562</v>
      </c>
      <c r="B12" s="31" t="s">
        <v>563</v>
      </c>
      <c r="C12" s="32" t="s">
        <v>564</v>
      </c>
      <c r="D12" s="30" t="s">
        <v>565</v>
      </c>
      <c r="E12" s="5"/>
      <c r="F12" s="3"/>
    </row>
    <row r="13" customFormat="false" ht="21.75" hidden="false" customHeight="true" outlineLevel="0" collapsed="false">
      <c r="A13" s="3" t="s">
        <v>566</v>
      </c>
      <c r="B13" s="4" t="s">
        <v>567</v>
      </c>
      <c r="C13" s="5" t="s">
        <v>568</v>
      </c>
      <c r="D13" s="3" t="s">
        <v>569</v>
      </c>
      <c r="E13" s="5"/>
      <c r="F13" s="3"/>
    </row>
    <row r="14" customFormat="false" ht="21.75" hidden="false" customHeight="true" outlineLevel="0" collapsed="false">
      <c r="A14" s="3" t="s">
        <v>570</v>
      </c>
      <c r="B14" s="4" t="s">
        <v>571</v>
      </c>
      <c r="C14" s="5" t="s">
        <v>572</v>
      </c>
      <c r="D14" s="3" t="s">
        <v>573</v>
      </c>
      <c r="E14" s="5"/>
      <c r="F14" s="3"/>
    </row>
    <row r="15" customFormat="false" ht="21.75" hidden="false" customHeight="true" outlineLevel="0" collapsed="false">
      <c r="A15" s="3" t="s">
        <v>574</v>
      </c>
      <c r="B15" s="4" t="s">
        <v>575</v>
      </c>
      <c r="C15" s="5" t="s">
        <v>576</v>
      </c>
      <c r="D15" s="3" t="s">
        <v>569</v>
      </c>
      <c r="E15" s="5"/>
      <c r="F15" s="3"/>
    </row>
    <row r="16" customFormat="false" ht="21.75" hidden="false" customHeight="true" outlineLevel="0" collapsed="false">
      <c r="A16" s="3" t="s">
        <v>577</v>
      </c>
      <c r="B16" s="4" t="s">
        <v>578</v>
      </c>
      <c r="C16" s="5" t="s">
        <v>579</v>
      </c>
      <c r="D16" s="3" t="s">
        <v>569</v>
      </c>
      <c r="E16" s="5"/>
      <c r="F16" s="3"/>
    </row>
    <row r="17" customFormat="false" ht="21.75" hidden="false" customHeight="true" outlineLevel="0" collapsed="false">
      <c r="A17" s="3" t="s">
        <v>580</v>
      </c>
      <c r="B17" s="4" t="s">
        <v>581</v>
      </c>
      <c r="C17" s="5" t="s">
        <v>582</v>
      </c>
      <c r="D17" s="3" t="s">
        <v>583</v>
      </c>
      <c r="E17" s="5"/>
      <c r="F17" s="3"/>
    </row>
    <row r="18" customFormat="false" ht="21.75" hidden="false" customHeight="true" outlineLevel="0" collapsed="false">
      <c r="A18" s="3" t="s">
        <v>584</v>
      </c>
      <c r="B18" s="4" t="s">
        <v>585</v>
      </c>
      <c r="C18" s="5" t="s">
        <v>586</v>
      </c>
      <c r="D18" s="3" t="s">
        <v>587</v>
      </c>
      <c r="E18" s="5"/>
      <c r="F18" s="3"/>
    </row>
    <row r="19" customFormat="false" ht="21.75" hidden="false" customHeight="true" outlineLevel="0" collapsed="false">
      <c r="A19" s="3" t="s">
        <v>588</v>
      </c>
      <c r="B19" s="4" t="s">
        <v>589</v>
      </c>
      <c r="C19" s="5" t="s">
        <v>590</v>
      </c>
      <c r="D19" s="3" t="s">
        <v>591</v>
      </c>
      <c r="E19" s="5"/>
      <c r="F19" s="3"/>
    </row>
    <row r="20" customFormat="false" ht="21.75" hidden="false" customHeight="true" outlineLevel="0" collapsed="false">
      <c r="A20" s="3" t="s">
        <v>592</v>
      </c>
      <c r="B20" s="4" t="s">
        <v>593</v>
      </c>
      <c r="C20" s="5" t="s">
        <v>594</v>
      </c>
      <c r="D20" s="3" t="s">
        <v>569</v>
      </c>
      <c r="E20" s="5"/>
      <c r="F20" s="3"/>
    </row>
    <row r="21" customFormat="false" ht="21.75" hidden="false" customHeight="true" outlineLevel="0" collapsed="false">
      <c r="A21" s="3"/>
      <c r="B21" s="4"/>
      <c r="C21" s="5"/>
      <c r="D21" s="3"/>
      <c r="E21" s="5"/>
      <c r="F21" s="3"/>
    </row>
    <row r="22" customFormat="false" ht="21.75" hidden="false" customHeight="true" outlineLevel="0" collapsed="false">
      <c r="A22" s="3"/>
      <c r="B22" s="4"/>
      <c r="C22" s="5"/>
      <c r="D22" s="3"/>
      <c r="E22" s="5"/>
      <c r="F22" s="3"/>
    </row>
    <row r="23" customFormat="false" ht="24.75" hidden="false" customHeight="true" outlineLevel="0" collapsed="false">
      <c r="A23" s="6" t="s">
        <v>595</v>
      </c>
      <c r="B23" s="6"/>
      <c r="C23" s="6"/>
      <c r="D23" s="6"/>
      <c r="E23" s="6"/>
      <c r="F23" s="6"/>
    </row>
    <row r="24" customFormat="false" ht="21.75" hidden="false" customHeight="true" outlineLevel="0" collapsed="false">
      <c r="A24" s="30" t="s">
        <v>596</v>
      </c>
      <c r="B24" s="31" t="s">
        <v>597</v>
      </c>
      <c r="C24" s="32" t="s">
        <v>598</v>
      </c>
      <c r="D24" s="30" t="s">
        <v>599</v>
      </c>
      <c r="E24" s="32" t="s">
        <v>600</v>
      </c>
      <c r="F24" s="30" t="s">
        <v>601</v>
      </c>
    </row>
    <row r="25" customFormat="false" ht="42" hidden="false" customHeight="true" outlineLevel="0" collapsed="false">
      <c r="A25" s="3" t="s">
        <v>602</v>
      </c>
      <c r="B25" s="4" t="s">
        <v>603</v>
      </c>
      <c r="C25" s="5" t="s">
        <v>604</v>
      </c>
      <c r="D25" s="3" t="s">
        <v>605</v>
      </c>
      <c r="E25" s="5" t="s">
        <v>606</v>
      </c>
      <c r="F25" s="3" t="s">
        <v>607</v>
      </c>
    </row>
    <row r="26" customFormat="false" ht="42" hidden="false" customHeight="true" outlineLevel="0" collapsed="false">
      <c r="A26" s="3" t="s">
        <v>608</v>
      </c>
      <c r="B26" s="4" t="s">
        <v>609</v>
      </c>
      <c r="C26" s="5" t="s">
        <v>610</v>
      </c>
      <c r="D26" s="3" t="s">
        <v>611</v>
      </c>
      <c r="E26" s="5" t="s">
        <v>612</v>
      </c>
      <c r="F26" s="3" t="s">
        <v>613</v>
      </c>
    </row>
    <row r="27" customFormat="false" ht="42" hidden="false" customHeight="true" outlineLevel="0" collapsed="false">
      <c r="A27" s="3" t="s">
        <v>614</v>
      </c>
      <c r="B27" s="4" t="s">
        <v>615</v>
      </c>
      <c r="C27" s="5" t="s">
        <v>616</v>
      </c>
      <c r="D27" s="3" t="s">
        <v>617</v>
      </c>
      <c r="E27" s="5" t="s">
        <v>618</v>
      </c>
      <c r="F27" s="3" t="s">
        <v>619</v>
      </c>
    </row>
    <row r="28" customFormat="false" ht="21.75" hidden="false" customHeight="true" outlineLevel="0" collapsed="false">
      <c r="A28" s="3"/>
      <c r="B28" s="4"/>
      <c r="C28" s="5"/>
      <c r="D28" s="3"/>
      <c r="E28" s="5"/>
      <c r="F28" s="3"/>
    </row>
    <row r="29" customFormat="false" ht="21.75" hidden="false" customHeight="true" outlineLevel="0" collapsed="false">
      <c r="A29" s="3"/>
      <c r="B29" s="4"/>
      <c r="C29" s="5"/>
      <c r="D29" s="3"/>
      <c r="E29" s="5"/>
      <c r="F29" s="3"/>
    </row>
    <row r="30" customFormat="false" ht="24.75" hidden="false" customHeight="true" outlineLevel="0" collapsed="false">
      <c r="A30" s="6" t="s">
        <v>620</v>
      </c>
      <c r="B30" s="6"/>
      <c r="C30" s="6"/>
      <c r="D30" s="6"/>
      <c r="E30" s="6"/>
      <c r="F30" s="6"/>
    </row>
    <row r="31" customFormat="false" ht="21.75" hidden="false" customHeight="true" outlineLevel="0" collapsed="false">
      <c r="A31" s="3" t="s">
        <v>621</v>
      </c>
      <c r="B31" s="4" t="s">
        <v>622</v>
      </c>
      <c r="C31" s="4"/>
      <c r="D31" s="4"/>
      <c r="E31" s="4"/>
      <c r="F31" s="4"/>
    </row>
    <row r="32" customFormat="false" ht="21.75" hidden="false" customHeight="true" outlineLevel="0" collapsed="false">
      <c r="A32" s="3" t="s">
        <v>623</v>
      </c>
      <c r="B32" s="4" t="s">
        <v>624</v>
      </c>
      <c r="C32" s="4"/>
      <c r="D32" s="4"/>
      <c r="E32" s="4"/>
      <c r="F32" s="4"/>
    </row>
    <row r="33" customFormat="false" ht="21.75" hidden="false" customHeight="true" outlineLevel="0" collapsed="false">
      <c r="A33" s="3" t="s">
        <v>625</v>
      </c>
      <c r="B33" s="4" t="s">
        <v>626</v>
      </c>
      <c r="C33" s="4"/>
      <c r="D33" s="4"/>
      <c r="E33" s="4"/>
      <c r="F33" s="4"/>
    </row>
    <row r="34" customFormat="false" ht="21.75" hidden="false" customHeight="true" outlineLevel="0" collapsed="false">
      <c r="A34" s="3" t="s">
        <v>627</v>
      </c>
      <c r="B34" s="4" t="s">
        <v>628</v>
      </c>
      <c r="C34" s="4"/>
      <c r="D34" s="4"/>
      <c r="E34" s="4"/>
      <c r="F34" s="4"/>
    </row>
    <row r="35" customFormat="false" ht="21.75" hidden="false" customHeight="true" outlineLevel="0" collapsed="false">
      <c r="A35" s="3"/>
      <c r="B35" s="4"/>
      <c r="C35" s="5"/>
      <c r="D35" s="3"/>
      <c r="E35" s="5"/>
      <c r="F35" s="3"/>
    </row>
    <row r="36" customFormat="false" ht="21.75" hidden="false" customHeight="true" outlineLevel="0" collapsed="false">
      <c r="A36" s="3"/>
      <c r="B36" s="4"/>
      <c r="C36" s="5"/>
      <c r="D36" s="3"/>
      <c r="E36" s="5"/>
      <c r="F36" s="3"/>
    </row>
    <row r="37" customFormat="false" ht="24.75" hidden="false" customHeight="true" outlineLevel="0" collapsed="false">
      <c r="A37" s="6" t="s">
        <v>629</v>
      </c>
      <c r="B37" s="6"/>
      <c r="C37" s="6"/>
      <c r="D37" s="6"/>
      <c r="E37" s="6"/>
      <c r="F37" s="6"/>
    </row>
    <row r="38" customFormat="false" ht="21.75" hidden="false" customHeight="true" outlineLevel="0" collapsed="false">
      <c r="A38" s="3" t="s">
        <v>630</v>
      </c>
      <c r="B38" s="4" t="s">
        <v>631</v>
      </c>
      <c r="C38" s="4"/>
      <c r="D38" s="4"/>
      <c r="E38" s="4"/>
      <c r="F38" s="4"/>
    </row>
    <row r="39" customFormat="false" ht="21.75" hidden="false" customHeight="true" outlineLevel="0" collapsed="false">
      <c r="A39" s="3" t="s">
        <v>632</v>
      </c>
      <c r="B39" s="4" t="s">
        <v>633</v>
      </c>
      <c r="C39" s="4"/>
      <c r="D39" s="4"/>
      <c r="E39" s="4"/>
      <c r="F39" s="4"/>
    </row>
    <row r="40" customFormat="false" ht="21.75" hidden="false" customHeight="true" outlineLevel="0" collapsed="false">
      <c r="A40" s="3" t="s">
        <v>634</v>
      </c>
      <c r="B40" s="4" t="s">
        <v>635</v>
      </c>
      <c r="C40" s="4"/>
      <c r="D40" s="4"/>
      <c r="E40" s="4"/>
      <c r="F40" s="4"/>
    </row>
    <row r="41" customFormat="false" ht="21.75" hidden="false" customHeight="true" outlineLevel="0" collapsed="false">
      <c r="A41" s="3" t="s">
        <v>636</v>
      </c>
      <c r="B41" s="4" t="s">
        <v>637</v>
      </c>
      <c r="C41" s="4"/>
      <c r="D41" s="4"/>
      <c r="E41" s="4"/>
      <c r="F41" s="4"/>
    </row>
    <row r="42" customFormat="false" ht="21.75" hidden="false" customHeight="true" outlineLevel="0" collapsed="false">
      <c r="A42" s="3" t="s">
        <v>638</v>
      </c>
      <c r="B42" s="4" t="s">
        <v>639</v>
      </c>
      <c r="C42" s="4"/>
      <c r="D42" s="4"/>
      <c r="E42" s="4"/>
      <c r="F42" s="4"/>
    </row>
    <row r="43" customFormat="false" ht="21.75" hidden="false" customHeight="true" outlineLevel="0" collapsed="false">
      <c r="A43" s="3"/>
      <c r="B43" s="4"/>
      <c r="C43" s="5"/>
      <c r="D43" s="3"/>
      <c r="E43" s="5"/>
      <c r="F43" s="3"/>
    </row>
    <row r="44" customFormat="false" ht="21.75" hidden="false" customHeight="true" outlineLevel="0" collapsed="false">
      <c r="A44" s="3"/>
      <c r="B44" s="4"/>
      <c r="C44" s="5"/>
      <c r="D44" s="3"/>
      <c r="E44" s="5"/>
      <c r="F44" s="3"/>
    </row>
    <row r="45" customFormat="false" ht="27.75" hidden="false" customHeight="true" outlineLevel="0" collapsed="false">
      <c r="A45" s="16" t="s">
        <v>640</v>
      </c>
      <c r="B45" s="16"/>
      <c r="C45" s="16"/>
      <c r="D45" s="16"/>
      <c r="E45" s="16"/>
      <c r="F45" s="16"/>
    </row>
    <row r="46" customFormat="false" ht="21.75" hidden="false" customHeight="true" outlineLevel="0" collapsed="false">
      <c r="A46" s="3"/>
      <c r="B46" s="4"/>
      <c r="C46" s="5"/>
      <c r="D46" s="3"/>
      <c r="E46" s="5"/>
      <c r="F46" s="3"/>
    </row>
    <row r="47" customFormat="false" ht="21.75" hidden="false" customHeight="true" outlineLevel="0" collapsed="false">
      <c r="A47" s="3"/>
      <c r="B47" s="4"/>
      <c r="C47" s="5"/>
      <c r="D47" s="3"/>
      <c r="E47" s="5"/>
      <c r="F47" s="3"/>
    </row>
    <row r="48" customFormat="false" ht="21.75" hidden="false" customHeight="true" outlineLevel="0" collapsed="false">
      <c r="A48" s="3"/>
      <c r="B48" s="4"/>
      <c r="C48" s="5"/>
      <c r="D48" s="3"/>
      <c r="E48" s="5"/>
      <c r="F48" s="3"/>
    </row>
    <row r="49" customFormat="false" ht="21.75" hidden="false" customHeight="true" outlineLevel="0" collapsed="false">
      <c r="A49" s="3"/>
      <c r="B49" s="4"/>
      <c r="C49" s="5"/>
      <c r="D49" s="3"/>
      <c r="E49" s="5"/>
      <c r="F49" s="3"/>
    </row>
    <row r="50" customFormat="false" ht="21.75" hidden="false" customHeight="true" outlineLevel="0" collapsed="false">
      <c r="A50" s="3"/>
      <c r="B50" s="4"/>
      <c r="C50" s="5"/>
      <c r="D50" s="3"/>
      <c r="E50" s="5"/>
      <c r="F50" s="3"/>
    </row>
    <row r="51" customFormat="false" ht="21.75" hidden="false" customHeight="true" outlineLevel="0" collapsed="false">
      <c r="A51" s="3"/>
      <c r="B51" s="4"/>
      <c r="C51" s="5"/>
      <c r="D51" s="3"/>
      <c r="E51" s="5"/>
      <c r="F51" s="3"/>
    </row>
    <row r="52" customFormat="false" ht="21.75" hidden="false" customHeight="true" outlineLevel="0" collapsed="false">
      <c r="A52" s="3"/>
      <c r="B52" s="4"/>
      <c r="C52" s="5"/>
      <c r="D52" s="3"/>
      <c r="E52" s="5"/>
      <c r="F52" s="3"/>
    </row>
    <row r="53" customFormat="false" ht="21.75" hidden="false" customHeight="true" outlineLevel="0" collapsed="false">
      <c r="A53" s="3"/>
      <c r="B53" s="4"/>
      <c r="C53" s="5"/>
      <c r="D53" s="3"/>
      <c r="E53" s="5"/>
      <c r="F53" s="3"/>
    </row>
    <row r="54" customFormat="false" ht="21.75" hidden="false" customHeight="true" outlineLevel="0" collapsed="false">
      <c r="A54" s="3"/>
      <c r="B54" s="4"/>
      <c r="C54" s="5"/>
      <c r="D54" s="3"/>
      <c r="E54" s="5"/>
      <c r="F54" s="3"/>
    </row>
    <row r="55" customFormat="false" ht="21.75" hidden="false" customHeight="true" outlineLevel="0" collapsed="false">
      <c r="A55" s="3"/>
      <c r="B55" s="4"/>
      <c r="C55" s="5"/>
      <c r="D55" s="3"/>
      <c r="E55" s="5"/>
      <c r="F55" s="3"/>
    </row>
    <row r="56" customFormat="false" ht="21.75" hidden="false" customHeight="true" outlineLevel="0" collapsed="false">
      <c r="A56" s="3"/>
      <c r="B56" s="4"/>
      <c r="C56" s="5"/>
      <c r="D56" s="3"/>
      <c r="E56" s="5"/>
      <c r="F56" s="3"/>
    </row>
    <row r="57" customFormat="false" ht="21.75" hidden="false" customHeight="true" outlineLevel="0" collapsed="false">
      <c r="A57" s="3"/>
      <c r="B57" s="4"/>
      <c r="C57" s="5"/>
      <c r="D57" s="3"/>
      <c r="E57" s="5"/>
      <c r="F57" s="3"/>
    </row>
    <row r="58" customFormat="false" ht="21.75" hidden="false" customHeight="true" outlineLevel="0" collapsed="false">
      <c r="A58" s="3"/>
      <c r="B58" s="4"/>
      <c r="C58" s="5"/>
      <c r="D58" s="3"/>
      <c r="E58" s="5"/>
      <c r="F58" s="3"/>
    </row>
    <row r="59" customFormat="false" ht="21.75" hidden="false" customHeight="true" outlineLevel="0" collapsed="false">
      <c r="A59" s="3"/>
      <c r="B59" s="4"/>
      <c r="C59" s="5"/>
      <c r="D59" s="3"/>
      <c r="E59" s="5"/>
      <c r="F59" s="3"/>
    </row>
    <row r="60" customFormat="false" ht="21.75" hidden="false" customHeight="true" outlineLevel="0" collapsed="false">
      <c r="A60" s="3"/>
      <c r="B60" s="4"/>
      <c r="C60" s="5"/>
      <c r="D60" s="3"/>
      <c r="E60" s="5"/>
      <c r="F60" s="3"/>
    </row>
    <row r="61" customFormat="false" ht="21.75" hidden="false" customHeight="true" outlineLevel="0" collapsed="false">
      <c r="A61" s="3"/>
      <c r="B61" s="4"/>
      <c r="C61" s="5"/>
      <c r="D61" s="3"/>
      <c r="E61" s="5"/>
      <c r="F61" s="3"/>
    </row>
    <row r="62" customFormat="false" ht="21.75" hidden="false" customHeight="true" outlineLevel="0" collapsed="false">
      <c r="A62" s="3"/>
      <c r="B62" s="4"/>
      <c r="C62" s="5"/>
      <c r="D62" s="3"/>
      <c r="E62" s="5"/>
      <c r="F62" s="3"/>
    </row>
    <row r="63" customFormat="false" ht="21.75" hidden="false" customHeight="true" outlineLevel="0" collapsed="false">
      <c r="A63" s="3"/>
      <c r="B63" s="4"/>
      <c r="C63" s="5"/>
      <c r="D63" s="3"/>
      <c r="E63" s="5"/>
      <c r="F63" s="3"/>
    </row>
    <row r="64" customFormat="false" ht="21.75" hidden="false" customHeight="true" outlineLevel="0" collapsed="false">
      <c r="A64" s="3"/>
      <c r="B64" s="4"/>
      <c r="C64" s="5"/>
      <c r="D64" s="3"/>
      <c r="E64" s="5"/>
      <c r="F64" s="3"/>
    </row>
    <row r="65" customFormat="false" ht="21.75" hidden="false" customHeight="true" outlineLevel="0" collapsed="false">
      <c r="A65" s="3"/>
      <c r="B65" s="4"/>
      <c r="C65" s="5"/>
      <c r="D65" s="3"/>
      <c r="E65" s="5"/>
      <c r="F65" s="3"/>
    </row>
    <row r="66" customFormat="false" ht="21.75" hidden="false" customHeight="true" outlineLevel="0" collapsed="false">
      <c r="A66" s="3"/>
      <c r="B66" s="4"/>
      <c r="C66" s="5"/>
      <c r="D66" s="3"/>
      <c r="E66" s="5"/>
      <c r="F66" s="3"/>
    </row>
    <row r="67" customFormat="false" ht="21.75" hidden="false" customHeight="true" outlineLevel="0" collapsed="false">
      <c r="A67" s="3"/>
      <c r="B67" s="4"/>
      <c r="C67" s="5"/>
      <c r="D67" s="3"/>
      <c r="E67" s="5"/>
      <c r="F67" s="3"/>
    </row>
    <row r="68" customFormat="false" ht="21.75" hidden="false" customHeight="true" outlineLevel="0" collapsed="false">
      <c r="A68" s="3"/>
      <c r="B68" s="4"/>
      <c r="C68" s="5"/>
      <c r="D68" s="3"/>
      <c r="E68" s="5"/>
      <c r="F68" s="3"/>
    </row>
    <row r="69" customFormat="false" ht="21.75" hidden="false" customHeight="true" outlineLevel="0" collapsed="false">
      <c r="A69" s="3"/>
      <c r="B69" s="4"/>
      <c r="C69" s="5"/>
      <c r="D69" s="3"/>
      <c r="E69" s="5"/>
      <c r="F69" s="3"/>
    </row>
    <row r="70" customFormat="false" ht="21.75" hidden="false" customHeight="true" outlineLevel="0" collapsed="false">
      <c r="A70" s="3"/>
      <c r="B70" s="4"/>
      <c r="C70" s="5"/>
      <c r="D70" s="3"/>
      <c r="E70" s="5"/>
      <c r="F70" s="3"/>
    </row>
    <row r="71" customFormat="false" ht="21.75" hidden="false" customHeight="true" outlineLevel="0" collapsed="false">
      <c r="A71" s="3"/>
      <c r="B71" s="4"/>
      <c r="C71" s="5"/>
      <c r="D71" s="3"/>
      <c r="E71" s="5"/>
      <c r="F71" s="3"/>
    </row>
    <row r="72" customFormat="false" ht="21.75" hidden="false" customHeight="true" outlineLevel="0" collapsed="false">
      <c r="A72" s="3"/>
      <c r="B72" s="4"/>
      <c r="C72" s="5"/>
      <c r="D72" s="3"/>
      <c r="E72" s="5"/>
      <c r="F72" s="3"/>
    </row>
    <row r="73" customFormat="false" ht="21.75" hidden="false" customHeight="true" outlineLevel="0" collapsed="false">
      <c r="A73" s="3"/>
      <c r="B73" s="4"/>
      <c r="C73" s="5"/>
      <c r="D73" s="3"/>
      <c r="E73" s="5"/>
      <c r="F73" s="3"/>
    </row>
    <row r="74" customFormat="false" ht="21.75" hidden="false" customHeight="true" outlineLevel="0" collapsed="false">
      <c r="A74" s="3"/>
      <c r="B74" s="4"/>
      <c r="C74" s="5"/>
      <c r="D74" s="3"/>
      <c r="E74" s="5"/>
      <c r="F74" s="3"/>
    </row>
    <row r="75" customFormat="false" ht="21.75" hidden="false" customHeight="true" outlineLevel="0" collapsed="false">
      <c r="A75" s="3"/>
      <c r="B75" s="4"/>
      <c r="C75" s="5"/>
      <c r="D75" s="3"/>
      <c r="E75" s="5"/>
      <c r="F75" s="3"/>
    </row>
    <row r="76" customFormat="false" ht="21.75" hidden="false" customHeight="true" outlineLevel="0" collapsed="false">
      <c r="A76" s="3"/>
      <c r="B76" s="4"/>
      <c r="C76" s="5"/>
      <c r="D76" s="3"/>
      <c r="E76" s="5"/>
      <c r="F76" s="3"/>
    </row>
    <row r="77" customFormat="false" ht="21.75" hidden="false" customHeight="true" outlineLevel="0" collapsed="false">
      <c r="A77" s="3"/>
      <c r="B77" s="4"/>
      <c r="C77" s="5"/>
      <c r="D77" s="3"/>
      <c r="E77" s="5"/>
      <c r="F77" s="3"/>
    </row>
    <row r="78" customFormat="false" ht="21.75" hidden="false" customHeight="true" outlineLevel="0" collapsed="false">
      <c r="A78" s="3"/>
      <c r="B78" s="4"/>
      <c r="C78" s="5"/>
      <c r="D78" s="3"/>
      <c r="E78" s="5"/>
      <c r="F78" s="3"/>
    </row>
    <row r="79" customFormat="false" ht="21.75" hidden="false" customHeight="true" outlineLevel="0" collapsed="false">
      <c r="A79" s="3"/>
      <c r="B79" s="4"/>
      <c r="C79" s="5"/>
      <c r="D79" s="3"/>
      <c r="E79" s="5"/>
      <c r="F79" s="3"/>
    </row>
    <row r="80" customFormat="false" ht="21.75" hidden="false" customHeight="true" outlineLevel="0" collapsed="false">
      <c r="A80" s="3"/>
      <c r="B80" s="4"/>
      <c r="C80" s="5"/>
      <c r="D80" s="3"/>
      <c r="E80" s="5"/>
      <c r="F80" s="3"/>
    </row>
    <row r="81" customFormat="false" ht="21.75" hidden="false" customHeight="true" outlineLevel="0" collapsed="false">
      <c r="A81" s="5"/>
      <c r="B81" s="5"/>
      <c r="C81" s="5"/>
      <c r="D81" s="5"/>
      <c r="E81" s="5"/>
      <c r="F81" s="5"/>
    </row>
    <row r="82" customFormat="false" ht="21.75" hidden="false" customHeight="true" outlineLevel="0" collapsed="false">
      <c r="A82" s="5"/>
      <c r="B82" s="5"/>
      <c r="C82" s="5"/>
      <c r="D82" s="5"/>
      <c r="E82" s="5"/>
      <c r="F82" s="5"/>
    </row>
    <row r="83" customFormat="false" ht="21.75" hidden="false" customHeight="true" outlineLevel="0" collapsed="false">
      <c r="A83" s="5"/>
      <c r="B83" s="5"/>
      <c r="C83" s="5"/>
      <c r="D83" s="5"/>
      <c r="E83" s="5"/>
      <c r="F83" s="5"/>
    </row>
    <row r="84" customFormat="false" ht="21.75" hidden="false" customHeight="true" outlineLevel="0" collapsed="false">
      <c r="A84" s="5"/>
      <c r="B84" s="5"/>
      <c r="C84" s="5"/>
      <c r="D84" s="5"/>
      <c r="E84" s="5"/>
      <c r="F84" s="5"/>
    </row>
    <row r="85" customFormat="false" ht="21.75" hidden="false" customHeight="true" outlineLevel="0" collapsed="false">
      <c r="A85" s="5"/>
      <c r="B85" s="5"/>
      <c r="C85" s="5"/>
      <c r="D85" s="5"/>
      <c r="E85" s="5"/>
      <c r="F85" s="5"/>
    </row>
    <row r="86" customFormat="false" ht="21.75" hidden="false" customHeight="true" outlineLevel="0" collapsed="false">
      <c r="A86" s="5"/>
      <c r="B86" s="5"/>
      <c r="C86" s="5"/>
      <c r="D86" s="5"/>
      <c r="E86" s="5"/>
      <c r="F86" s="5"/>
    </row>
    <row r="87" customFormat="false" ht="21.75" hidden="false" customHeight="true" outlineLevel="0" collapsed="false">
      <c r="A87" s="5"/>
      <c r="B87" s="5"/>
      <c r="C87" s="5"/>
      <c r="D87" s="5"/>
      <c r="E87" s="5"/>
      <c r="F87" s="5"/>
    </row>
    <row r="88" customFormat="false" ht="21.75" hidden="false" customHeight="true" outlineLevel="0" collapsed="false">
      <c r="A88" s="5"/>
      <c r="B88" s="5"/>
      <c r="C88" s="5"/>
      <c r="D88" s="5"/>
      <c r="E88" s="5"/>
      <c r="F88" s="5"/>
    </row>
    <row r="89" customFormat="false" ht="21.75" hidden="false" customHeight="true" outlineLevel="0" collapsed="false">
      <c r="A89" s="5"/>
      <c r="B89" s="5"/>
      <c r="C89" s="5"/>
      <c r="D89" s="5"/>
      <c r="E89" s="5"/>
      <c r="F89" s="5"/>
    </row>
    <row r="90" customFormat="false" ht="21.75" hidden="false" customHeight="true" outlineLevel="0" collapsed="false">
      <c r="A90" s="5"/>
      <c r="B90" s="5"/>
      <c r="C90" s="5"/>
      <c r="D90" s="5"/>
      <c r="E90" s="5"/>
      <c r="F90" s="5"/>
    </row>
    <row r="91" customFormat="false" ht="21.75" hidden="false" customHeight="true" outlineLevel="0" collapsed="false">
      <c r="A91" s="5"/>
      <c r="B91" s="5"/>
      <c r="C91" s="5"/>
      <c r="D91" s="5"/>
      <c r="E91" s="5"/>
      <c r="F91" s="5"/>
    </row>
    <row r="92" customFormat="false" ht="21.75" hidden="false" customHeight="true" outlineLevel="0" collapsed="false">
      <c r="A92" s="5"/>
      <c r="B92" s="5"/>
      <c r="C92" s="5"/>
      <c r="D92" s="5"/>
      <c r="E92" s="5"/>
      <c r="F92" s="5"/>
    </row>
  </sheetData>
  <mergeCells count="17">
    <mergeCell ref="A1:F2"/>
    <mergeCell ref="A3:F3"/>
    <mergeCell ref="A4:F4"/>
    <mergeCell ref="A11:F11"/>
    <mergeCell ref="A23:F23"/>
    <mergeCell ref="A30:F30"/>
    <mergeCell ref="B31:F31"/>
    <mergeCell ref="B32:F32"/>
    <mergeCell ref="B33:F33"/>
    <mergeCell ref="B34:F34"/>
    <mergeCell ref="A37:F37"/>
    <mergeCell ref="B38:F38"/>
    <mergeCell ref="B39:F39"/>
    <mergeCell ref="B40:F40"/>
    <mergeCell ref="B41:F41"/>
    <mergeCell ref="B42:F42"/>
    <mergeCell ref="A45:F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7"/>
    <col collapsed="false" customWidth="true" hidden="false" outlineLevel="0" max="5" min="5" style="0" width="20"/>
    <col collapsed="false" customWidth="true" hidden="false" outlineLevel="0" max="6" min="6" style="0" width="31"/>
  </cols>
  <sheetData>
    <row r="1" customFormat="false" ht="22.5" hidden="false" customHeight="true" outlineLevel="0" collapsed="false">
      <c r="A1" s="1" t="s">
        <v>641</v>
      </c>
      <c r="B1" s="1"/>
      <c r="C1" s="1"/>
      <c r="D1" s="1"/>
      <c r="E1" s="1"/>
      <c r="F1" s="1"/>
    </row>
    <row r="2" customFormat="false" ht="22.5" hidden="false" customHeight="true" outlineLevel="0" collapsed="false">
      <c r="A2" s="1"/>
      <c r="B2" s="1"/>
      <c r="C2" s="1"/>
      <c r="D2" s="1"/>
      <c r="E2" s="1"/>
      <c r="F2" s="1"/>
    </row>
    <row r="3" customFormat="false" ht="28.5" hidden="false" customHeight="true" outlineLevel="0" collapsed="false">
      <c r="A3" s="2" t="s">
        <v>642</v>
      </c>
      <c r="B3" s="2"/>
      <c r="C3" s="2"/>
      <c r="D3" s="2"/>
      <c r="E3" s="2"/>
      <c r="F3" s="2"/>
    </row>
    <row r="4" customFormat="false" ht="24.75" hidden="false" customHeight="true" outlineLevel="0" collapsed="false">
      <c r="A4" s="6" t="s">
        <v>643</v>
      </c>
      <c r="B4" s="6"/>
      <c r="C4" s="6"/>
      <c r="D4" s="6"/>
      <c r="E4" s="6"/>
      <c r="F4" s="6"/>
    </row>
    <row r="5" customFormat="false" ht="21.75" hidden="false" customHeight="true" outlineLevel="0" collapsed="false">
      <c r="A5" s="3" t="s">
        <v>644</v>
      </c>
      <c r="B5" s="40" t="n">
        <v>0.3</v>
      </c>
      <c r="C5" s="5" t="s">
        <v>645</v>
      </c>
      <c r="D5" s="3" t="s">
        <v>646</v>
      </c>
      <c r="E5" s="5"/>
      <c r="F5" s="3" t="s">
        <v>647</v>
      </c>
    </row>
    <row r="6" customFormat="false" ht="21.75" hidden="false" customHeight="true" outlineLevel="0" collapsed="false">
      <c r="A6" s="3" t="s">
        <v>648</v>
      </c>
      <c r="B6" s="40" t="n">
        <v>0.03</v>
      </c>
      <c r="C6" s="5" t="s">
        <v>645</v>
      </c>
      <c r="D6" s="3" t="s">
        <v>649</v>
      </c>
      <c r="E6" s="5"/>
      <c r="F6" s="3" t="s">
        <v>647</v>
      </c>
    </row>
    <row r="7" customFormat="false" ht="21.75" hidden="false" customHeight="true" outlineLevel="0" collapsed="false">
      <c r="A7" s="3" t="s">
        <v>650</v>
      </c>
      <c r="B7" s="40" t="n">
        <v>2.5</v>
      </c>
      <c r="C7" s="5" t="s">
        <v>645</v>
      </c>
      <c r="D7" s="3" t="s">
        <v>651</v>
      </c>
      <c r="E7" s="5"/>
      <c r="F7" s="3" t="s">
        <v>647</v>
      </c>
    </row>
    <row r="8" customFormat="false" ht="21.75" hidden="false" customHeight="true" outlineLevel="0" collapsed="false">
      <c r="A8" s="3" t="s">
        <v>652</v>
      </c>
      <c r="B8" s="40" t="n">
        <v>0.75</v>
      </c>
      <c r="C8" s="5" t="s">
        <v>645</v>
      </c>
      <c r="D8" s="3" t="s">
        <v>653</v>
      </c>
      <c r="E8" s="5"/>
      <c r="F8" s="3" t="s">
        <v>647</v>
      </c>
    </row>
    <row r="9" customFormat="false" ht="21.75" hidden="false" customHeight="true" outlineLevel="0" collapsed="false">
      <c r="A9" s="3" t="s">
        <v>654</v>
      </c>
      <c r="B9" s="40" t="n">
        <v>3.75</v>
      </c>
      <c r="C9" s="5" t="s">
        <v>645</v>
      </c>
      <c r="D9" s="3" t="s">
        <v>653</v>
      </c>
      <c r="E9" s="5"/>
      <c r="F9" s="3" t="s">
        <v>647</v>
      </c>
    </row>
    <row r="10" customFormat="false" ht="21.75" hidden="false" customHeight="true" outlineLevel="0" collapsed="false">
      <c r="A10" s="3" t="s">
        <v>655</v>
      </c>
      <c r="B10" s="40" t="n">
        <v>1.5</v>
      </c>
      <c r="C10" s="5" t="s">
        <v>645</v>
      </c>
      <c r="D10" s="3" t="s">
        <v>656</v>
      </c>
      <c r="E10" s="5"/>
      <c r="F10" s="3" t="s">
        <v>647</v>
      </c>
    </row>
    <row r="11" customFormat="false" ht="21.75" hidden="false" customHeight="true" outlineLevel="0" collapsed="false">
      <c r="A11" s="3" t="s">
        <v>657</v>
      </c>
      <c r="B11" s="40" t="n">
        <v>7.5</v>
      </c>
      <c r="C11" s="5" t="s">
        <v>645</v>
      </c>
      <c r="D11" s="3" t="s">
        <v>656</v>
      </c>
      <c r="E11" s="5"/>
      <c r="F11" s="3" t="s">
        <v>647</v>
      </c>
    </row>
    <row r="12" customFormat="false" ht="21.75" hidden="false" customHeight="true" outlineLevel="0" collapsed="false">
      <c r="A12" s="3" t="s">
        <v>658</v>
      </c>
      <c r="B12" s="23" t="n">
        <v>26190</v>
      </c>
      <c r="C12" s="5" t="s">
        <v>146</v>
      </c>
      <c r="D12" s="3" t="s">
        <v>659</v>
      </c>
      <c r="E12" s="5"/>
      <c r="F12" s="3" t="s">
        <v>660</v>
      </c>
    </row>
    <row r="13" customFormat="false" ht="21.75" hidden="false" customHeight="true" outlineLevel="0" collapsed="false">
      <c r="A13" s="3"/>
      <c r="B13" s="4"/>
      <c r="C13" s="5"/>
      <c r="D13" s="3"/>
      <c r="E13" s="5"/>
      <c r="F13" s="3"/>
    </row>
    <row r="14" customFormat="false" ht="24.75" hidden="false" customHeight="true" outlineLevel="0" collapsed="false">
      <c r="A14" s="6" t="s">
        <v>661</v>
      </c>
      <c r="B14" s="6"/>
      <c r="C14" s="6"/>
      <c r="D14" s="6"/>
      <c r="E14" s="6"/>
      <c r="F14" s="6"/>
    </row>
    <row r="15" customFormat="false" ht="21.75" hidden="false" customHeight="true" outlineLevel="0" collapsed="false">
      <c r="A15" s="3" t="s">
        <v>662</v>
      </c>
      <c r="B15" s="7" t="n">
        <v>0.99</v>
      </c>
      <c r="C15" s="5" t="s">
        <v>663</v>
      </c>
      <c r="D15" s="3" t="s">
        <v>664</v>
      </c>
      <c r="E15" s="5"/>
      <c r="F15" s="3" t="s">
        <v>447</v>
      </c>
    </row>
    <row r="16" customFormat="false" ht="21.75" hidden="false" customHeight="true" outlineLevel="0" collapsed="false">
      <c r="A16" s="3" t="s">
        <v>665</v>
      </c>
      <c r="B16" s="7" t="n">
        <v>0.1</v>
      </c>
      <c r="C16" s="5" t="s">
        <v>666</v>
      </c>
      <c r="D16" s="3" t="s">
        <v>667</v>
      </c>
      <c r="E16" s="5"/>
      <c r="F16" s="3" t="s">
        <v>449</v>
      </c>
    </row>
    <row r="17" customFormat="false" ht="21.75" hidden="false" customHeight="true" outlineLevel="0" collapsed="false">
      <c r="A17" s="3" t="s">
        <v>668</v>
      </c>
      <c r="B17" s="7" t="n">
        <v>6300</v>
      </c>
      <c r="C17" s="5" t="s">
        <v>502</v>
      </c>
      <c r="D17" s="3" t="s">
        <v>669</v>
      </c>
      <c r="E17" s="5"/>
      <c r="F17" s="3" t="s">
        <v>670</v>
      </c>
    </row>
    <row r="18" customFormat="false" ht="21.75" hidden="false" customHeight="true" outlineLevel="0" collapsed="false">
      <c r="A18" s="3" t="s">
        <v>671</v>
      </c>
      <c r="B18" s="7" t="n">
        <v>12</v>
      </c>
      <c r="C18" s="5" t="s">
        <v>470</v>
      </c>
      <c r="D18" s="3" t="s">
        <v>672</v>
      </c>
      <c r="E18" s="5"/>
      <c r="F18" s="3" t="s">
        <v>673</v>
      </c>
    </row>
    <row r="19" customFormat="false" ht="21.75" hidden="false" customHeight="true" outlineLevel="0" collapsed="false">
      <c r="A19" s="3" t="s">
        <v>674</v>
      </c>
      <c r="B19" s="17" t="n">
        <v>0.6</v>
      </c>
      <c r="C19" s="5" t="s">
        <v>34</v>
      </c>
      <c r="D19" s="3" t="s">
        <v>675</v>
      </c>
      <c r="E19" s="5"/>
      <c r="F19" s="3" t="s">
        <v>676</v>
      </c>
    </row>
    <row r="20" customFormat="false" ht="21.75" hidden="false" customHeight="true" outlineLevel="0" collapsed="false">
      <c r="A20" s="3"/>
      <c r="B20" s="4"/>
      <c r="C20" s="5"/>
      <c r="D20" s="3"/>
      <c r="E20" s="5"/>
      <c r="F20" s="3"/>
    </row>
    <row r="21" customFormat="false" ht="21.75" hidden="false" customHeight="true" outlineLevel="0" collapsed="false">
      <c r="A21" s="3"/>
      <c r="B21" s="4"/>
      <c r="C21" s="5"/>
      <c r="D21" s="3"/>
      <c r="E21" s="5"/>
      <c r="F21" s="3"/>
    </row>
    <row r="22" customFormat="false" ht="24.75" hidden="false" customHeight="true" outlineLevel="0" collapsed="false">
      <c r="A22" s="6" t="s">
        <v>677</v>
      </c>
      <c r="B22" s="6"/>
      <c r="C22" s="6"/>
      <c r="D22" s="6"/>
      <c r="E22" s="6"/>
      <c r="F22" s="6"/>
    </row>
    <row r="23" customFormat="false" ht="21.75" hidden="false" customHeight="true" outlineLevel="0" collapsed="false">
      <c r="A23" s="3" t="s">
        <v>678</v>
      </c>
      <c r="B23" s="4" t="s">
        <v>679</v>
      </c>
      <c r="C23" s="4"/>
      <c r="D23" s="4"/>
      <c r="E23" s="4"/>
      <c r="F23" s="4"/>
    </row>
    <row r="24" customFormat="false" ht="21.75" hidden="false" customHeight="true" outlineLevel="0" collapsed="false">
      <c r="A24" s="3" t="s">
        <v>680</v>
      </c>
      <c r="B24" s="4" t="s">
        <v>681</v>
      </c>
      <c r="C24" s="4"/>
      <c r="D24" s="4"/>
      <c r="E24" s="4"/>
      <c r="F24" s="4"/>
    </row>
    <row r="25" customFormat="false" ht="21.75" hidden="false" customHeight="true" outlineLevel="0" collapsed="false">
      <c r="A25" s="3" t="s">
        <v>682</v>
      </c>
      <c r="B25" s="4" t="s">
        <v>683</v>
      </c>
      <c r="C25" s="4"/>
      <c r="D25" s="4"/>
      <c r="E25" s="4"/>
      <c r="F25" s="4"/>
    </row>
    <row r="26" customFormat="false" ht="21.75" hidden="false" customHeight="true" outlineLevel="0" collapsed="false">
      <c r="A26" s="3" t="s">
        <v>171</v>
      </c>
      <c r="B26" s="4" t="s">
        <v>684</v>
      </c>
      <c r="C26" s="4"/>
      <c r="D26" s="4"/>
      <c r="E26" s="4"/>
      <c r="F26" s="4"/>
    </row>
    <row r="27" customFormat="false" ht="21.75" hidden="false" customHeight="true" outlineLevel="0" collapsed="false">
      <c r="A27" s="3"/>
      <c r="B27" s="4"/>
      <c r="C27" s="5"/>
      <c r="D27" s="3"/>
      <c r="E27" s="5"/>
      <c r="F27" s="3"/>
    </row>
    <row r="28" customFormat="false" ht="21.75" hidden="false" customHeight="true" outlineLevel="0" collapsed="false">
      <c r="A28" s="3"/>
      <c r="B28" s="4"/>
      <c r="C28" s="5"/>
      <c r="D28" s="3"/>
      <c r="E28" s="5"/>
      <c r="F28" s="3"/>
    </row>
    <row r="29" customFormat="false" ht="27.75" hidden="false" customHeight="true" outlineLevel="0" collapsed="false">
      <c r="A29" s="16" t="s">
        <v>685</v>
      </c>
      <c r="B29" s="16"/>
      <c r="C29" s="16"/>
      <c r="D29" s="16"/>
      <c r="E29" s="16"/>
      <c r="F29" s="16"/>
    </row>
    <row r="30" customFormat="false" ht="21.75" hidden="false" customHeight="true" outlineLevel="0" collapsed="false">
      <c r="A30" s="3"/>
      <c r="B30" s="4"/>
      <c r="C30" s="5"/>
      <c r="D30" s="3"/>
      <c r="E30" s="5"/>
      <c r="F30" s="3"/>
    </row>
    <row r="31" customFormat="false" ht="21.75" hidden="false" customHeight="true" outlineLevel="0" collapsed="false">
      <c r="A31" s="3"/>
      <c r="B31" s="4"/>
      <c r="C31" s="5"/>
      <c r="D31" s="3"/>
      <c r="E31" s="5"/>
      <c r="F31" s="3"/>
    </row>
    <row r="32" customFormat="false" ht="21.75" hidden="false" customHeight="true" outlineLevel="0" collapsed="false">
      <c r="A32" s="3"/>
      <c r="B32" s="4"/>
      <c r="C32" s="5"/>
      <c r="D32" s="3"/>
      <c r="E32" s="5"/>
      <c r="F32" s="3"/>
    </row>
    <row r="33" customFormat="false" ht="21.75" hidden="false" customHeight="true" outlineLevel="0" collapsed="false">
      <c r="A33" s="3"/>
      <c r="B33" s="4"/>
      <c r="C33" s="5"/>
      <c r="D33" s="3"/>
      <c r="E33" s="5"/>
      <c r="F33" s="3"/>
    </row>
    <row r="34" customFormat="false" ht="21.75" hidden="false" customHeight="true" outlineLevel="0" collapsed="false">
      <c r="A34" s="3"/>
      <c r="B34" s="4"/>
      <c r="C34" s="5"/>
      <c r="D34" s="3"/>
      <c r="E34" s="5"/>
      <c r="F34" s="3"/>
    </row>
    <row r="35" customFormat="false" ht="21.75" hidden="false" customHeight="true" outlineLevel="0" collapsed="false">
      <c r="A35" s="3"/>
      <c r="B35" s="4"/>
      <c r="C35" s="5"/>
      <c r="D35" s="3"/>
      <c r="E35" s="5"/>
      <c r="F35" s="3"/>
    </row>
    <row r="36" customFormat="false" ht="21.75" hidden="false" customHeight="true" outlineLevel="0" collapsed="false">
      <c r="A36" s="3"/>
      <c r="B36" s="4"/>
      <c r="C36" s="5"/>
      <c r="D36" s="3"/>
      <c r="E36" s="5"/>
      <c r="F36" s="3"/>
    </row>
    <row r="37" customFormat="false" ht="21.75" hidden="false" customHeight="true" outlineLevel="0" collapsed="false">
      <c r="A37" s="3"/>
      <c r="B37" s="4"/>
      <c r="C37" s="5"/>
      <c r="D37" s="3"/>
      <c r="E37" s="5"/>
      <c r="F37" s="3"/>
    </row>
    <row r="38" customFormat="false" ht="21.75" hidden="false" customHeight="true" outlineLevel="0" collapsed="false">
      <c r="A38" s="3"/>
      <c r="B38" s="4"/>
      <c r="C38" s="5"/>
      <c r="D38" s="3"/>
      <c r="E38" s="5"/>
      <c r="F38" s="3"/>
    </row>
    <row r="39" customFormat="false" ht="21.75" hidden="false" customHeight="true" outlineLevel="0" collapsed="false">
      <c r="A39" s="3"/>
      <c r="B39" s="4"/>
      <c r="C39" s="5"/>
      <c r="D39" s="3"/>
      <c r="E39" s="5"/>
      <c r="F39" s="3"/>
    </row>
    <row r="40" customFormat="false" ht="21.75" hidden="false" customHeight="true" outlineLevel="0" collapsed="false">
      <c r="A40" s="3"/>
      <c r="B40" s="4"/>
      <c r="C40" s="5"/>
      <c r="D40" s="3"/>
      <c r="E40" s="5"/>
      <c r="F40" s="3"/>
    </row>
    <row r="41" customFormat="false" ht="21.75" hidden="false" customHeight="true" outlineLevel="0" collapsed="false">
      <c r="A41" s="3"/>
      <c r="B41" s="4"/>
      <c r="C41" s="5"/>
      <c r="D41" s="3"/>
      <c r="E41" s="5"/>
      <c r="F41" s="3"/>
    </row>
    <row r="42" customFormat="false" ht="21.75" hidden="false" customHeight="true" outlineLevel="0" collapsed="false">
      <c r="A42" s="3"/>
      <c r="B42" s="4"/>
      <c r="C42" s="5"/>
      <c r="D42" s="3"/>
      <c r="E42" s="5"/>
      <c r="F42" s="3"/>
    </row>
    <row r="43" customFormat="false" ht="21.75" hidden="false" customHeight="true" outlineLevel="0" collapsed="false">
      <c r="A43" s="3"/>
      <c r="B43" s="4"/>
      <c r="C43" s="5"/>
      <c r="D43" s="3"/>
      <c r="E43" s="5"/>
      <c r="F43" s="3"/>
    </row>
    <row r="44" customFormat="false" ht="21.75" hidden="false" customHeight="true" outlineLevel="0" collapsed="false">
      <c r="A44" s="3"/>
      <c r="B44" s="4"/>
      <c r="C44" s="5"/>
      <c r="D44" s="3"/>
      <c r="E44" s="5"/>
      <c r="F44" s="3"/>
    </row>
    <row r="45" customFormat="false" ht="21.75" hidden="false" customHeight="true" outlineLevel="0" collapsed="false">
      <c r="A45" s="3"/>
      <c r="B45" s="4"/>
      <c r="C45" s="5"/>
      <c r="D45" s="3"/>
      <c r="E45" s="5"/>
      <c r="F45" s="3"/>
    </row>
    <row r="46" customFormat="false" ht="21.75" hidden="false" customHeight="true" outlineLevel="0" collapsed="false">
      <c r="A46" s="3"/>
      <c r="B46" s="4"/>
      <c r="C46" s="5"/>
      <c r="D46" s="3"/>
      <c r="E46" s="5"/>
      <c r="F46" s="3"/>
    </row>
    <row r="47" customFormat="false" ht="21.75" hidden="false" customHeight="true" outlineLevel="0" collapsed="false">
      <c r="A47" s="3"/>
      <c r="B47" s="4"/>
      <c r="C47" s="5"/>
      <c r="D47" s="3"/>
      <c r="E47" s="5"/>
      <c r="F47" s="3"/>
    </row>
    <row r="48" customFormat="false" ht="21.75" hidden="false" customHeight="true" outlineLevel="0" collapsed="false">
      <c r="A48" s="3"/>
      <c r="B48" s="4"/>
      <c r="C48" s="5"/>
      <c r="D48" s="3"/>
      <c r="E48" s="5"/>
      <c r="F48" s="3"/>
    </row>
    <row r="49" customFormat="false" ht="21.75" hidden="false" customHeight="true" outlineLevel="0" collapsed="false">
      <c r="A49" s="3"/>
      <c r="B49" s="4"/>
      <c r="C49" s="5"/>
      <c r="D49" s="3"/>
      <c r="E49" s="5"/>
      <c r="F49" s="3"/>
    </row>
    <row r="50" customFormat="false" ht="21.75" hidden="false" customHeight="true" outlineLevel="0" collapsed="false">
      <c r="A50" s="3"/>
      <c r="B50" s="4"/>
      <c r="C50" s="5"/>
      <c r="D50" s="3"/>
      <c r="E50" s="5"/>
      <c r="F50" s="3"/>
    </row>
    <row r="51" customFormat="false" ht="21.75" hidden="false" customHeight="true" outlineLevel="0" collapsed="false">
      <c r="A51" s="3"/>
      <c r="B51" s="4"/>
      <c r="C51" s="5"/>
      <c r="D51" s="3"/>
      <c r="E51" s="5"/>
      <c r="F51" s="3"/>
    </row>
    <row r="52" customFormat="false" ht="21.75" hidden="false" customHeight="true" outlineLevel="0" collapsed="false">
      <c r="A52" s="3"/>
      <c r="B52" s="4"/>
      <c r="C52" s="5"/>
      <c r="D52" s="3"/>
      <c r="E52" s="5"/>
      <c r="F52" s="3"/>
    </row>
    <row r="53" customFormat="false" ht="21.75" hidden="false" customHeight="true" outlineLevel="0" collapsed="false">
      <c r="A53" s="3"/>
      <c r="B53" s="4"/>
      <c r="C53" s="5"/>
      <c r="D53" s="3"/>
      <c r="E53" s="5"/>
      <c r="F53" s="3"/>
    </row>
    <row r="54" customFormat="false" ht="21.75" hidden="false" customHeight="true" outlineLevel="0" collapsed="false">
      <c r="A54" s="3"/>
      <c r="B54" s="4"/>
      <c r="C54" s="5"/>
      <c r="D54" s="3"/>
      <c r="E54" s="5"/>
      <c r="F54" s="3"/>
    </row>
    <row r="55" customFormat="false" ht="21.75" hidden="false" customHeight="true" outlineLevel="0" collapsed="false">
      <c r="A55" s="3"/>
      <c r="B55" s="4"/>
      <c r="C55" s="5"/>
      <c r="D55" s="3"/>
      <c r="E55" s="5"/>
      <c r="F55" s="3"/>
    </row>
    <row r="56" customFormat="false" ht="21.75" hidden="false" customHeight="true" outlineLevel="0" collapsed="false">
      <c r="A56" s="3"/>
      <c r="B56" s="4"/>
      <c r="C56" s="5"/>
      <c r="D56" s="3"/>
      <c r="E56" s="5"/>
      <c r="F56" s="3"/>
    </row>
    <row r="57" customFormat="false" ht="21.75" hidden="false" customHeight="true" outlineLevel="0" collapsed="false">
      <c r="A57" s="3"/>
      <c r="B57" s="4"/>
      <c r="C57" s="5"/>
      <c r="D57" s="3"/>
      <c r="E57" s="5"/>
      <c r="F57" s="3"/>
    </row>
    <row r="58" customFormat="false" ht="21.75" hidden="false" customHeight="true" outlineLevel="0" collapsed="false">
      <c r="A58" s="3"/>
      <c r="B58" s="4"/>
      <c r="C58" s="5"/>
      <c r="D58" s="3"/>
      <c r="E58" s="5"/>
      <c r="F58" s="3"/>
    </row>
    <row r="59" customFormat="false" ht="21.75" hidden="false" customHeight="true" outlineLevel="0" collapsed="false">
      <c r="A59" s="3"/>
      <c r="B59" s="4"/>
      <c r="C59" s="5"/>
      <c r="D59" s="3"/>
      <c r="E59" s="5"/>
      <c r="F59" s="3"/>
    </row>
    <row r="60" customFormat="false" ht="21.75" hidden="false" customHeight="true" outlineLevel="0" collapsed="false">
      <c r="A60" s="3"/>
      <c r="B60" s="4"/>
      <c r="C60" s="5"/>
      <c r="D60" s="3"/>
      <c r="E60" s="5"/>
      <c r="F60" s="3"/>
    </row>
    <row r="61" customFormat="false" ht="21.75" hidden="false" customHeight="true" outlineLevel="0" collapsed="false">
      <c r="A61" s="3"/>
      <c r="B61" s="4"/>
      <c r="C61" s="5"/>
      <c r="D61" s="3"/>
      <c r="E61" s="5"/>
      <c r="F61" s="3"/>
    </row>
    <row r="62" customFormat="false" ht="21.75" hidden="false" customHeight="true" outlineLevel="0" collapsed="false">
      <c r="A62" s="3"/>
      <c r="B62" s="4"/>
      <c r="C62" s="5"/>
      <c r="D62" s="3"/>
      <c r="E62" s="5"/>
      <c r="F62" s="3"/>
    </row>
    <row r="63" customFormat="false" ht="21.75" hidden="false" customHeight="true" outlineLevel="0" collapsed="false">
      <c r="A63" s="3"/>
      <c r="B63" s="4"/>
      <c r="C63" s="5"/>
      <c r="D63" s="3"/>
      <c r="E63" s="5"/>
      <c r="F63" s="3"/>
    </row>
    <row r="64" customFormat="false" ht="21.75" hidden="false" customHeight="true" outlineLevel="0" collapsed="false">
      <c r="A64" s="3"/>
      <c r="B64" s="4"/>
      <c r="C64" s="5"/>
      <c r="D64" s="3"/>
      <c r="E64" s="5"/>
      <c r="F64" s="3"/>
    </row>
    <row r="65" customFormat="false" ht="21.75" hidden="false" customHeight="true" outlineLevel="0" collapsed="false">
      <c r="A65" s="3"/>
      <c r="B65" s="4"/>
      <c r="C65" s="5"/>
      <c r="D65" s="3"/>
      <c r="E65" s="5"/>
      <c r="F65" s="3"/>
    </row>
    <row r="66" customFormat="false" ht="21.75" hidden="false" customHeight="true" outlineLevel="0" collapsed="false">
      <c r="A66" s="3"/>
      <c r="B66" s="4"/>
      <c r="C66" s="5"/>
      <c r="D66" s="3"/>
      <c r="E66" s="5"/>
      <c r="F66" s="3"/>
    </row>
    <row r="67" customFormat="false" ht="21.75" hidden="false" customHeight="true" outlineLevel="0" collapsed="false">
      <c r="A67" s="3"/>
      <c r="B67" s="4"/>
      <c r="C67" s="5"/>
      <c r="D67" s="3"/>
      <c r="E67" s="5"/>
      <c r="F67" s="3"/>
    </row>
    <row r="68" customFormat="false" ht="21.75" hidden="false" customHeight="true" outlineLevel="0" collapsed="false">
      <c r="A68" s="3"/>
      <c r="B68" s="4"/>
      <c r="C68" s="5"/>
      <c r="D68" s="3"/>
      <c r="E68" s="5"/>
      <c r="F68" s="3"/>
    </row>
    <row r="69" customFormat="false" ht="21.75" hidden="false" customHeight="true" outlineLevel="0" collapsed="false">
      <c r="A69" s="3"/>
      <c r="B69" s="4"/>
      <c r="C69" s="5"/>
      <c r="D69" s="3"/>
      <c r="E69" s="5"/>
      <c r="F69" s="3"/>
    </row>
    <row r="70" customFormat="false" ht="21.75" hidden="false" customHeight="true" outlineLevel="0" collapsed="false">
      <c r="A70" s="3"/>
      <c r="B70" s="4"/>
      <c r="C70" s="5"/>
      <c r="D70" s="3"/>
      <c r="E70" s="5"/>
      <c r="F70" s="3"/>
    </row>
    <row r="71" customFormat="false" ht="15" hidden="false" customHeight="false" outlineLevel="0" collapsed="false">
      <c r="A71" s="41"/>
      <c r="B71" s="42"/>
      <c r="D71" s="41"/>
      <c r="F71" s="41"/>
    </row>
    <row r="72" customFormat="false" ht="15" hidden="false" customHeight="false" outlineLevel="0" collapsed="false">
      <c r="A72" s="41"/>
      <c r="B72" s="42"/>
      <c r="D72" s="41"/>
      <c r="F72" s="41"/>
    </row>
    <row r="73" customFormat="false" ht="15" hidden="false" customHeight="false" outlineLevel="0" collapsed="false">
      <c r="A73" s="41"/>
      <c r="B73" s="42"/>
      <c r="D73" s="41"/>
      <c r="F73" s="41"/>
    </row>
    <row r="74" customFormat="false" ht="15" hidden="false" customHeight="false" outlineLevel="0" collapsed="false">
      <c r="A74" s="41"/>
      <c r="B74" s="42"/>
      <c r="D74" s="41"/>
      <c r="F74" s="41"/>
    </row>
    <row r="75" customFormat="false" ht="15" hidden="false" customHeight="false" outlineLevel="0" collapsed="false">
      <c r="A75" s="41"/>
      <c r="B75" s="42"/>
      <c r="D75" s="41"/>
      <c r="F75" s="41"/>
    </row>
    <row r="76" customFormat="false" ht="15" hidden="false" customHeight="false" outlineLevel="0" collapsed="false">
      <c r="A76" s="41"/>
      <c r="B76" s="42"/>
      <c r="D76" s="41"/>
      <c r="F76" s="41"/>
    </row>
    <row r="77" customFormat="false" ht="15" hidden="false" customHeight="false" outlineLevel="0" collapsed="false">
      <c r="A77" s="41"/>
      <c r="B77" s="42"/>
      <c r="D77" s="41"/>
      <c r="F77" s="41"/>
    </row>
    <row r="78" customFormat="false" ht="15" hidden="false" customHeight="false" outlineLevel="0" collapsed="false">
      <c r="A78" s="41"/>
      <c r="B78" s="42"/>
      <c r="D78" s="41"/>
      <c r="F78" s="41"/>
    </row>
    <row r="79" customFormat="false" ht="15" hidden="false" customHeight="false" outlineLevel="0" collapsed="false">
      <c r="A79" s="41"/>
      <c r="B79" s="42"/>
      <c r="D79" s="41"/>
      <c r="F79" s="41"/>
    </row>
    <row r="80" customFormat="false" ht="15" hidden="false" customHeight="false" outlineLevel="0" collapsed="false">
      <c r="A80" s="41"/>
      <c r="B80" s="42"/>
      <c r="D80" s="41"/>
      <c r="F80" s="41"/>
    </row>
  </sheetData>
  <mergeCells count="10">
    <mergeCell ref="A1:F2"/>
    <mergeCell ref="A3:F3"/>
    <mergeCell ref="A4:F4"/>
    <mergeCell ref="A14:F14"/>
    <mergeCell ref="A22:F22"/>
    <mergeCell ref="B23:F23"/>
    <mergeCell ref="B24:F24"/>
    <mergeCell ref="B25:F25"/>
    <mergeCell ref="B26:F26"/>
    <mergeCell ref="A29:F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2026-10-09T02:13:22Z</dcterms:created>
  <dc:creator>openpyxl</dc:creator>
  <dc:description/>
  <dc:language>en-US</dc:language>
  <cp:lastModifiedBy/>
  <dcterms:modified xsi:type="dcterms:W3CDTF">2026-10-09T02:13:22Z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